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7bd28d0ebaef42/Documents/"/>
    </mc:Choice>
  </mc:AlternateContent>
  <xr:revisionPtr revIDLastSave="124" documentId="13_ncr:1_{B993F7BA-4893-4C62-B09D-A1C7AEA63D3E}" xr6:coauthVersionLast="47" xr6:coauthVersionMax="47" xr10:uidLastSave="{5B7E9127-4B7F-4241-87A1-18A5383D3EA8}"/>
  <bookViews>
    <workbookView xWindow="-120" yWindow="-120" windowWidth="24240" windowHeight="13020" xr2:uid="{1DB52C1C-A40B-4075-B132-4EE7778373C3}"/>
  </bookViews>
  <sheets>
    <sheet name="resultats_comparatifs " sheetId="4" r:id="rId1"/>
    <sheet name="Stats et dashboard" sheetId="2" r:id="rId2"/>
    <sheet name="resultats_exploitables" sheetId="5" r:id="rId3"/>
    <sheet name="Tableau dynamique" sheetId="6" r:id="rId4"/>
  </sheets>
  <definedNames>
    <definedName name="_xlcn.WorksheetConnection_Rapport_Final_Stats.xlsxresultats_exploitables1" hidden="1">resultats_exploitables[]</definedName>
    <definedName name="DonnéesExternes_1" localSheetId="0" hidden="1">'resultats_comparatifs '!$A$1:$Q$201</definedName>
    <definedName name="DonnéesExternes_2" localSheetId="2" hidden="1">'resultats_exploitables'!$A$1:$F$801</definedName>
  </definedNames>
  <calcPr calcId="191029"/>
  <pivotCaches>
    <pivotCache cacheId="70" r:id="rId5"/>
  </pivotCaches>
  <extLst>
    <ext xmlns:x15="http://schemas.microsoft.com/office/spreadsheetml/2010/11/main" uri="{FCE2AD5D-F65C-4FA6-A056-5C36A1767C68}">
      <x15:dataModel>
        <x15:modelTables>
          <x15:modelTable id="resultats_exploitables" name="resultats_exploitables" connection="WorksheetConnection_Rapport_Final_Stats.xlsx!resultats_exploitab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11" i="2"/>
  <c r="D39" i="2"/>
  <c r="C39" i="2"/>
  <c r="B39" i="2"/>
  <c r="A39" i="2"/>
  <c r="D35" i="2"/>
  <c r="C35" i="2"/>
  <c r="B35" i="2"/>
  <c r="A35" i="2"/>
  <c r="D31" i="2"/>
  <c r="C31" i="2"/>
  <c r="B31" i="2"/>
  <c r="A31" i="2"/>
  <c r="D25" i="2"/>
  <c r="C25" i="2"/>
  <c r="B25" i="2"/>
  <c r="A25" i="2"/>
  <c r="D20" i="2"/>
  <c r="C20" i="2"/>
  <c r="B20" i="2"/>
  <c r="A20" i="2"/>
  <c r="D15" i="2"/>
  <c r="C15" i="2"/>
  <c r="B15" i="2"/>
  <c r="A15" i="2"/>
  <c r="D7" i="2"/>
  <c r="C7" i="2"/>
  <c r="B7" i="2"/>
  <c r="A7" i="2"/>
  <c r="D3" i="2"/>
  <c r="D11" i="2" s="1"/>
  <c r="C3" i="2"/>
  <c r="C11" i="2" s="1"/>
  <c r="B3" i="2"/>
  <c r="B11" i="2"/>
  <c r="E31" i="2" l="1"/>
  <c r="E15" i="2"/>
  <c r="E20" i="2"/>
  <c r="E2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7B6284-0D87-43D1-916D-078BE4E316D1}" keepAlive="1" name="Requête - resultats_comparatifs" description="Connexion à la requête « resultats_comparatifs » dans le classeur." type="5" refreshedVersion="8" background="1" saveData="1">
    <dbPr connection="Provider=Microsoft.Mashup.OleDb.1;Data Source=$Workbook$;Location=resultats_comparatifs;Extended Properties=&quot;&quot;" command="SELECT * FROM [resultats_comparatifs]"/>
  </connection>
  <connection id="2" xr16:uid="{0ACB605C-4011-470B-B2F1-D1AF3CB8DF80}" keepAlive="1" name="Requête - resultats_exploitables" description="Connexion à la requête « resultats_exploitables » dans le classeur." type="5" refreshedVersion="8" background="1" saveData="1">
    <dbPr connection="Provider=Microsoft.Mashup.OleDb.1;Data Source=$Workbook$;Location=resultats_exploitables;Extended Properties=&quot;&quot;" command="SELECT * FROM [resultats_exploitables]"/>
  </connection>
  <connection id="3" xr16:uid="{F5D6CB8D-A3EB-41E8-A436-077B085DC350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49C32DF7-BEB3-414E-A460-8CD63574ED17}" name="WorksheetConnection_Rapport_Final_Stats.xlsx!resultats_exploitables" type="102" refreshedVersion="8" minRefreshableVersion="5">
    <extLst>
      <ext xmlns:x15="http://schemas.microsoft.com/office/spreadsheetml/2010/11/main" uri="{DE250136-89BD-433C-8126-D09CA5730AF9}">
        <x15:connection id="resultats_exploitables" autoDelete="1">
          <x15:rangePr sourceName="_xlcn.WorksheetConnection_Rapport_Final_Stats.xlsxresultats_exploitables1"/>
        </x15:connection>
      </ext>
    </extLst>
  </connection>
</connections>
</file>

<file path=xl/sharedStrings.xml><?xml version="1.0" encoding="utf-8"?>
<sst xmlns="http://schemas.openxmlformats.org/spreadsheetml/2006/main" count="477" uniqueCount="44">
  <si>
    <t>Match_No</t>
  </si>
  <si>
    <t>Strat 2</t>
  </si>
  <si>
    <t>Strat 3</t>
  </si>
  <si>
    <t>Strat 4</t>
  </si>
  <si>
    <t>Moyenne Score :</t>
  </si>
  <si>
    <t>Moyenne Classement :</t>
  </si>
  <si>
    <t>Score Moyen par tour :</t>
  </si>
  <si>
    <t>Taux 1 ere place :</t>
  </si>
  <si>
    <t>Taux 2 eme place :</t>
  </si>
  <si>
    <t>Taux 3 eme place :</t>
  </si>
  <si>
    <t>Taux 4 eme place :</t>
  </si>
  <si>
    <t xml:space="preserve">Notre Strat </t>
  </si>
  <si>
    <t>Total de bouteilles d'huile :</t>
  </si>
  <si>
    <t>Moyenne manilles</t>
  </si>
  <si>
    <t>Nb_Moulins_Pris1</t>
  </si>
  <si>
    <t>Nb_Moulins_Pris2</t>
  </si>
  <si>
    <t>Nb_Moulins_Pris3</t>
  </si>
  <si>
    <t>Nb_Moulins_Pris4</t>
  </si>
  <si>
    <t>NousFinal_Score</t>
  </si>
  <si>
    <t>NousFinal_Rang</t>
  </si>
  <si>
    <t>NousdeBase_Score</t>
  </si>
  <si>
    <t>NousdeBase_Rang</t>
  </si>
  <si>
    <t>Score3</t>
  </si>
  <si>
    <t>Rang3</t>
  </si>
  <si>
    <t>Score4</t>
  </si>
  <si>
    <t>Rang4</t>
  </si>
  <si>
    <t>Nb_Manilles1</t>
  </si>
  <si>
    <t>Nb_Manilles2</t>
  </si>
  <si>
    <t>Nb_Manilles3</t>
  </si>
  <si>
    <t>Nb_Manilles4</t>
  </si>
  <si>
    <t>Stratégie</t>
  </si>
  <si>
    <t>Score</t>
  </si>
  <si>
    <t>Rang</t>
  </si>
  <si>
    <t>Nb Manilles</t>
  </si>
  <si>
    <t>Nb Moulins_Pris</t>
  </si>
  <si>
    <t>Nous_Final</t>
  </si>
  <si>
    <t>Nous_deBase</t>
  </si>
  <si>
    <t>Étiquettes de lignes</t>
  </si>
  <si>
    <t>3</t>
  </si>
  <si>
    <t>4</t>
  </si>
  <si>
    <t>Total général</t>
  </si>
  <si>
    <t>Somme de Score</t>
  </si>
  <si>
    <t>Moyenne de Score</t>
  </si>
  <si>
    <t>% Production Huile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</si>
</sst>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1" applyFon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Figure 1 : Analyse de la supériorité de récolte (Moyenne sur 100 parties)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48-4579-AF19-09669261991C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48-4579-AF19-0966926199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48-4579-AF19-09669261991C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48-4579-AF19-0966926199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'Stats et dashboard'!$A$2:$D$2</c:f>
              <c:strCache>
                <c:ptCount val="4"/>
                <c:pt idx="0">
                  <c:v>Notre Strat </c:v>
                </c:pt>
                <c:pt idx="1">
                  <c:v>Strat 2</c:v>
                </c:pt>
                <c:pt idx="2">
                  <c:v>Strat 3</c:v>
                </c:pt>
                <c:pt idx="3">
                  <c:v>Strat 4</c:v>
                </c:pt>
              </c:strCache>
            </c:strRef>
          </c:cat>
          <c:val>
            <c:numRef>
              <c:f>'Stats et dashboard'!$A$3:$D$3</c:f>
              <c:numCache>
                <c:formatCode>General</c:formatCode>
                <c:ptCount val="4"/>
                <c:pt idx="0">
                  <c:v>6194.9250000000002</c:v>
                </c:pt>
                <c:pt idx="1">
                  <c:v>3767.355</c:v>
                </c:pt>
                <c:pt idx="2">
                  <c:v>4630.8900000000003</c:v>
                </c:pt>
                <c:pt idx="3">
                  <c:v>4310.7250000000004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48-4579-AF19-096692619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655583"/>
        <c:axId val="1560656063"/>
      </c:barChart>
      <c:catAx>
        <c:axId val="156065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0656063"/>
        <c:crosses val="autoZero"/>
        <c:auto val="1"/>
        <c:lblAlgn val="ctr"/>
        <c:lblOffset val="100"/>
        <c:noMultiLvlLbl val="0"/>
      </c:catAx>
      <c:valAx>
        <c:axId val="156065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065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Figure 3 : Taux de 1 ère place  ( sur 100 parties)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0D-4E5B-92B9-34E9E8D42BF6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0D-4E5B-92B9-34E9E8D42BF6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0D-4E5B-92B9-34E9E8D42BF6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0D-4E5B-92B9-34E9E8D42B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'Stats et dashboard'!$A$14:$D$14</c:f>
              <c:strCache>
                <c:ptCount val="4"/>
                <c:pt idx="0">
                  <c:v>Notre Strat </c:v>
                </c:pt>
                <c:pt idx="1">
                  <c:v>Strat 2</c:v>
                </c:pt>
                <c:pt idx="2">
                  <c:v>Strat 3</c:v>
                </c:pt>
                <c:pt idx="3">
                  <c:v>Strat 4</c:v>
                </c:pt>
              </c:strCache>
            </c:strRef>
          </c:cat>
          <c:val>
            <c:numRef>
              <c:f>'Stats et dashboard'!$A$15:$D$15</c:f>
              <c:numCache>
                <c:formatCode>0.00%</c:formatCode>
                <c:ptCount val="4"/>
                <c:pt idx="0">
                  <c:v>0.43</c:v>
                </c:pt>
                <c:pt idx="1">
                  <c:v>0.16500000000000001</c:v>
                </c:pt>
                <c:pt idx="2">
                  <c:v>0.21</c:v>
                </c:pt>
                <c:pt idx="3">
                  <c:v>0.19500000000000001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0D-4E5B-92B9-34E9E8D42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Figure 2  : Total récolte (Moyenne sur 100 parties)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9E-4062-9F63-03937B7B348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B9E-4062-9F63-03937B7B3488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9E-4062-9F63-03937B7B34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'Stats et dashboard'!$A$34:$D$34</c:f>
              <c:strCache>
                <c:ptCount val="4"/>
                <c:pt idx="0">
                  <c:v>Notre Strat </c:v>
                </c:pt>
                <c:pt idx="1">
                  <c:v>Strat 2</c:v>
                </c:pt>
                <c:pt idx="2">
                  <c:v>Strat 3</c:v>
                </c:pt>
                <c:pt idx="3">
                  <c:v>Strat 4</c:v>
                </c:pt>
              </c:strCache>
            </c:strRef>
          </c:cat>
          <c:val>
            <c:numRef>
              <c:f>'Stats et dashboard'!$A$35:$D$35</c:f>
              <c:numCache>
                <c:formatCode>General</c:formatCode>
                <c:ptCount val="4"/>
                <c:pt idx="0">
                  <c:v>1238985</c:v>
                </c:pt>
                <c:pt idx="1">
                  <c:v>753471</c:v>
                </c:pt>
                <c:pt idx="2">
                  <c:v>926178</c:v>
                </c:pt>
                <c:pt idx="3">
                  <c:v>862145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E-4062-9F63-03937B7B3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73840"/>
        <c:axId val="111290640"/>
      </c:barChart>
      <c:catAx>
        <c:axId val="11127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290640"/>
        <c:crosses val="autoZero"/>
        <c:auto val="1"/>
        <c:lblAlgn val="ctr"/>
        <c:lblOffset val="100"/>
        <c:noMultiLvlLbl val="0"/>
      </c:catAx>
      <c:valAx>
        <c:axId val="11129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27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Figure 6 : Taux de 4 ème place  ( sur 100 parties)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C3-4445-A28A-47358D15129D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C3-4445-A28A-47358D15129D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C3-4445-A28A-47358D15129D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C3-4445-A28A-47358D1512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'Stats et dashboard'!$A$30:$D$30</c:f>
              <c:strCache>
                <c:ptCount val="4"/>
                <c:pt idx="0">
                  <c:v>Notre Strat </c:v>
                </c:pt>
                <c:pt idx="1">
                  <c:v>Strat 2</c:v>
                </c:pt>
                <c:pt idx="2">
                  <c:v>Strat 3</c:v>
                </c:pt>
                <c:pt idx="3">
                  <c:v>Strat 4</c:v>
                </c:pt>
              </c:strCache>
            </c:strRef>
          </c:cat>
          <c:val>
            <c:numRef>
              <c:f>'Stats et dashboard'!$A$31:$D$31</c:f>
              <c:numCache>
                <c:formatCode>0%</c:formatCode>
                <c:ptCount val="4"/>
                <c:pt idx="0">
                  <c:v>9.5000000000000001E-2</c:v>
                </c:pt>
                <c:pt idx="1">
                  <c:v>0.27500000000000002</c:v>
                </c:pt>
                <c:pt idx="2">
                  <c:v>0.37</c:v>
                </c:pt>
                <c:pt idx="3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C3-4445-A28A-47358D151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Figure 4  : Taux de 2 ème place  ( sur 100 parties)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F5-4408-85BC-3C2D2B6364B4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F5-4408-85BC-3C2D2B6364B4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F5-4408-85BC-3C2D2B6364B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F5-4408-85BC-3C2D2B6364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'Stats et dashboard'!$A$19:$D$19</c:f>
              <c:strCache>
                <c:ptCount val="4"/>
                <c:pt idx="0">
                  <c:v>Notre Strat </c:v>
                </c:pt>
                <c:pt idx="1">
                  <c:v>Strat 2</c:v>
                </c:pt>
                <c:pt idx="2">
                  <c:v>Strat 3</c:v>
                </c:pt>
                <c:pt idx="3">
                  <c:v>Strat 4</c:v>
                </c:pt>
              </c:strCache>
            </c:strRef>
          </c:cat>
          <c:val>
            <c:numRef>
              <c:f>'Stats et dashboard'!$A$20:$D$20</c:f>
              <c:numCache>
                <c:formatCode>0%</c:formatCode>
                <c:ptCount val="4"/>
                <c:pt idx="0">
                  <c:v>0.32</c:v>
                </c:pt>
                <c:pt idx="1">
                  <c:v>0.2</c:v>
                </c:pt>
                <c:pt idx="2">
                  <c:v>0.21</c:v>
                </c:pt>
                <c:pt idx="3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F5-4408-85BC-3C2D2B636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Figure 5 : Taux de 3 ème place  ( sur 100 parties)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68-4CA2-A208-8FD13361EB0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68-4CA2-A208-8FD13361EB01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68-4CA2-A208-8FD13361EB0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68-4CA2-A208-8FD13361EB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'Stats et dashboard'!$A$24:$D$24</c:f>
              <c:strCache>
                <c:ptCount val="4"/>
                <c:pt idx="0">
                  <c:v>Notre Strat </c:v>
                </c:pt>
                <c:pt idx="1">
                  <c:v>Strat 2</c:v>
                </c:pt>
                <c:pt idx="2">
                  <c:v>Strat 3</c:v>
                </c:pt>
                <c:pt idx="3">
                  <c:v>Strat 4</c:v>
                </c:pt>
              </c:strCache>
            </c:strRef>
          </c:cat>
          <c:val>
            <c:numRef>
              <c:f>'Stats et dashboard'!$A$25:$D$25</c:f>
              <c:numCache>
                <c:formatCode>0%</c:formatCode>
                <c:ptCount val="4"/>
                <c:pt idx="0">
                  <c:v>0.155</c:v>
                </c:pt>
                <c:pt idx="1">
                  <c:v>0.36</c:v>
                </c:pt>
                <c:pt idx="2">
                  <c:v>0.21</c:v>
                </c:pt>
                <c:pt idx="3">
                  <c:v>0.27500000000000002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68-4CA2-A208-8FD13361E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147521</xdr:colOff>
      <xdr:row>0</xdr:row>
      <xdr:rowOff>132653</xdr:rowOff>
    </xdr:from>
    <xdr:to>
      <xdr:col>13</xdr:col>
      <xdr:colOff>119643</xdr:colOff>
      <xdr:row>15</xdr:row>
      <xdr:rowOff>88048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7E4145E8-BE3E-42B9-B4F3-F5FFC3D22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167885</xdr:colOff>
      <xdr:row>18</xdr:row>
      <xdr:rowOff>73467</xdr:rowOff>
    </xdr:from>
    <xdr:to>
      <xdr:col>13</xdr:col>
      <xdr:colOff>142654</xdr:colOff>
      <xdr:row>33</xdr:row>
      <xdr:rowOff>1440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58A19231-7914-4BD5-AECF-D196C7CB5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260902</xdr:colOff>
      <xdr:row>0</xdr:row>
      <xdr:rowOff>122375</xdr:rowOff>
    </xdr:from>
    <xdr:to>
      <xdr:col>20</xdr:col>
      <xdr:colOff>260902</xdr:colOff>
      <xdr:row>15</xdr:row>
      <xdr:rowOff>12216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D68558A1-A15E-DC2E-DD0C-1485C5AE0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283145</xdr:colOff>
      <xdr:row>36</xdr:row>
      <xdr:rowOff>36293</xdr:rowOff>
    </xdr:from>
    <xdr:to>
      <xdr:col>20</xdr:col>
      <xdr:colOff>257913</xdr:colOff>
      <xdr:row>50</xdr:row>
      <xdr:rowOff>144343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68C3D82-34F0-4A45-ACB5-CD59F09E5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249175</xdr:colOff>
      <xdr:row>18</xdr:row>
      <xdr:rowOff>12098</xdr:rowOff>
    </xdr:from>
    <xdr:to>
      <xdr:col>20</xdr:col>
      <xdr:colOff>217661</xdr:colOff>
      <xdr:row>32</xdr:row>
      <xdr:rowOff>126430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5046C95-0133-4050-8692-766C3D8BA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209857</xdr:colOff>
      <xdr:row>36</xdr:row>
      <xdr:rowOff>108418</xdr:rowOff>
    </xdr:from>
    <xdr:to>
      <xdr:col>13</xdr:col>
      <xdr:colOff>184626</xdr:colOff>
      <xdr:row>51</xdr:row>
      <xdr:rowOff>30111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FD40389-F73D-4F01-9C3C-32010BF48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sen Airouta" refreshedDate="46098.551245486109" backgroundQuery="1" createdVersion="8" refreshedVersion="8" minRefreshableVersion="3" recordCount="0" supportSubquery="1" supportAdvancedDrill="1" xr:uid="{F2AB32FA-BE54-4DBF-B248-24047FCAF30C}">
  <cacheSource type="external" connectionId="3"/>
  <cacheFields count="5">
    <cacheField name="[resultats_exploitables].[Stratégie].[Stratégie]" caption="Stratégie" numFmtId="0" hierarchy="1" level="1">
      <sharedItems count="4">
        <s v="3"/>
        <s v="4"/>
        <s v="Nous_deBase"/>
        <s v="Nous_Final"/>
      </sharedItems>
    </cacheField>
    <cacheField name="[Measures].[Moyenne de Score]" caption="Moyenne de Score" numFmtId="0" hierarchy="7" level="32767"/>
    <cacheField name="[Measures].[Somme de Score]" caption="Somme de Score" numFmtId="0" hierarchy="6" level="32767"/>
    <cacheField name="[Measures].[% Production Huile]" caption="% Production Huile" numFmtId="0" hierarchy="8" level="32767"/>
    <cacheField name="[resultats_exploitables].[Match_No].[Match_No]" caption="Match_No" numFmtId="0" level="1">
      <sharedItems containsSemiMixedTypes="0" containsString="0" containsNumber="1" containsInteger="1" minValue="1" maxValue="200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  <extLst>
        <ext xmlns:x15="http://schemas.microsoft.com/office/spreadsheetml/2010/11/main" uri="{4F2E5C28-24EA-4eb8-9CBF-B6C8F9C3D259}">
          <x15:cachedUniqueNames>
            <x15:cachedUniqueName index="0" name="[resultats_exploitables].[Match_No].&amp;[1]"/>
            <x15:cachedUniqueName index="1" name="[resultats_exploitables].[Match_No].&amp;[2]"/>
            <x15:cachedUniqueName index="2" name="[resultats_exploitables].[Match_No].&amp;[3]"/>
            <x15:cachedUniqueName index="3" name="[resultats_exploitables].[Match_No].&amp;[4]"/>
            <x15:cachedUniqueName index="4" name="[resultats_exploitables].[Match_No].&amp;[5]"/>
            <x15:cachedUniqueName index="5" name="[resultats_exploitables].[Match_No].&amp;[6]"/>
            <x15:cachedUniqueName index="6" name="[resultats_exploitables].[Match_No].&amp;[7]"/>
            <x15:cachedUniqueName index="7" name="[resultats_exploitables].[Match_No].&amp;[8]"/>
            <x15:cachedUniqueName index="8" name="[resultats_exploitables].[Match_No].&amp;[9]"/>
            <x15:cachedUniqueName index="9" name="[resultats_exploitables].[Match_No].&amp;[10]"/>
            <x15:cachedUniqueName index="10" name="[resultats_exploitables].[Match_No].&amp;[11]"/>
            <x15:cachedUniqueName index="11" name="[resultats_exploitables].[Match_No].&amp;[12]"/>
            <x15:cachedUniqueName index="12" name="[resultats_exploitables].[Match_No].&amp;[13]"/>
            <x15:cachedUniqueName index="13" name="[resultats_exploitables].[Match_No].&amp;[14]"/>
            <x15:cachedUniqueName index="14" name="[resultats_exploitables].[Match_No].&amp;[15]"/>
            <x15:cachedUniqueName index="15" name="[resultats_exploitables].[Match_No].&amp;[16]"/>
            <x15:cachedUniqueName index="16" name="[resultats_exploitables].[Match_No].&amp;[17]"/>
            <x15:cachedUniqueName index="17" name="[resultats_exploitables].[Match_No].&amp;[18]"/>
            <x15:cachedUniqueName index="18" name="[resultats_exploitables].[Match_No].&amp;[19]"/>
            <x15:cachedUniqueName index="19" name="[resultats_exploitables].[Match_No].&amp;[20]"/>
            <x15:cachedUniqueName index="20" name="[resultats_exploitables].[Match_No].&amp;[21]"/>
            <x15:cachedUniqueName index="21" name="[resultats_exploitables].[Match_No].&amp;[22]"/>
            <x15:cachedUniqueName index="22" name="[resultats_exploitables].[Match_No].&amp;[23]"/>
            <x15:cachedUniqueName index="23" name="[resultats_exploitables].[Match_No].&amp;[24]"/>
            <x15:cachedUniqueName index="24" name="[resultats_exploitables].[Match_No].&amp;[25]"/>
            <x15:cachedUniqueName index="25" name="[resultats_exploitables].[Match_No].&amp;[26]"/>
            <x15:cachedUniqueName index="26" name="[resultats_exploitables].[Match_No].&amp;[27]"/>
            <x15:cachedUniqueName index="27" name="[resultats_exploitables].[Match_No].&amp;[28]"/>
            <x15:cachedUniqueName index="28" name="[resultats_exploitables].[Match_No].&amp;[29]"/>
            <x15:cachedUniqueName index="29" name="[resultats_exploitables].[Match_No].&amp;[30]"/>
            <x15:cachedUniqueName index="30" name="[resultats_exploitables].[Match_No].&amp;[31]"/>
            <x15:cachedUniqueName index="31" name="[resultats_exploitables].[Match_No].&amp;[32]"/>
            <x15:cachedUniqueName index="32" name="[resultats_exploitables].[Match_No].&amp;[33]"/>
            <x15:cachedUniqueName index="33" name="[resultats_exploitables].[Match_No].&amp;[34]"/>
            <x15:cachedUniqueName index="34" name="[resultats_exploitables].[Match_No].&amp;[35]"/>
            <x15:cachedUniqueName index="35" name="[resultats_exploitables].[Match_No].&amp;[36]"/>
            <x15:cachedUniqueName index="36" name="[resultats_exploitables].[Match_No].&amp;[37]"/>
            <x15:cachedUniqueName index="37" name="[resultats_exploitables].[Match_No].&amp;[38]"/>
            <x15:cachedUniqueName index="38" name="[resultats_exploitables].[Match_No].&amp;[39]"/>
            <x15:cachedUniqueName index="39" name="[resultats_exploitables].[Match_No].&amp;[40]"/>
            <x15:cachedUniqueName index="40" name="[resultats_exploitables].[Match_No].&amp;[41]"/>
            <x15:cachedUniqueName index="41" name="[resultats_exploitables].[Match_No].&amp;[42]"/>
            <x15:cachedUniqueName index="42" name="[resultats_exploitables].[Match_No].&amp;[43]"/>
            <x15:cachedUniqueName index="43" name="[resultats_exploitables].[Match_No].&amp;[44]"/>
            <x15:cachedUniqueName index="44" name="[resultats_exploitables].[Match_No].&amp;[45]"/>
            <x15:cachedUniqueName index="45" name="[resultats_exploitables].[Match_No].&amp;[46]"/>
            <x15:cachedUniqueName index="46" name="[resultats_exploitables].[Match_No].&amp;[47]"/>
            <x15:cachedUniqueName index="47" name="[resultats_exploitables].[Match_No].&amp;[48]"/>
            <x15:cachedUniqueName index="48" name="[resultats_exploitables].[Match_No].&amp;[49]"/>
            <x15:cachedUniqueName index="49" name="[resultats_exploitables].[Match_No].&amp;[50]"/>
            <x15:cachedUniqueName index="50" name="[resultats_exploitables].[Match_No].&amp;[51]"/>
            <x15:cachedUniqueName index="51" name="[resultats_exploitables].[Match_No].&amp;[52]"/>
            <x15:cachedUniqueName index="52" name="[resultats_exploitables].[Match_No].&amp;[53]"/>
            <x15:cachedUniqueName index="53" name="[resultats_exploitables].[Match_No].&amp;[54]"/>
            <x15:cachedUniqueName index="54" name="[resultats_exploitables].[Match_No].&amp;[55]"/>
            <x15:cachedUniqueName index="55" name="[resultats_exploitables].[Match_No].&amp;[56]"/>
            <x15:cachedUniqueName index="56" name="[resultats_exploitables].[Match_No].&amp;[57]"/>
            <x15:cachedUniqueName index="57" name="[resultats_exploitables].[Match_No].&amp;[58]"/>
            <x15:cachedUniqueName index="58" name="[resultats_exploitables].[Match_No].&amp;[59]"/>
            <x15:cachedUniqueName index="59" name="[resultats_exploitables].[Match_No].&amp;[60]"/>
            <x15:cachedUniqueName index="60" name="[resultats_exploitables].[Match_No].&amp;[61]"/>
            <x15:cachedUniqueName index="61" name="[resultats_exploitables].[Match_No].&amp;[62]"/>
            <x15:cachedUniqueName index="62" name="[resultats_exploitables].[Match_No].&amp;[63]"/>
            <x15:cachedUniqueName index="63" name="[resultats_exploitables].[Match_No].&amp;[64]"/>
            <x15:cachedUniqueName index="64" name="[resultats_exploitables].[Match_No].&amp;[65]"/>
            <x15:cachedUniqueName index="65" name="[resultats_exploitables].[Match_No].&amp;[66]"/>
            <x15:cachedUniqueName index="66" name="[resultats_exploitables].[Match_No].&amp;[67]"/>
            <x15:cachedUniqueName index="67" name="[resultats_exploitables].[Match_No].&amp;[68]"/>
            <x15:cachedUniqueName index="68" name="[resultats_exploitables].[Match_No].&amp;[69]"/>
            <x15:cachedUniqueName index="69" name="[resultats_exploitables].[Match_No].&amp;[70]"/>
            <x15:cachedUniqueName index="70" name="[resultats_exploitables].[Match_No].&amp;[71]"/>
            <x15:cachedUniqueName index="71" name="[resultats_exploitables].[Match_No].&amp;[72]"/>
            <x15:cachedUniqueName index="72" name="[resultats_exploitables].[Match_No].&amp;[73]"/>
            <x15:cachedUniqueName index="73" name="[resultats_exploitables].[Match_No].&amp;[74]"/>
            <x15:cachedUniqueName index="74" name="[resultats_exploitables].[Match_No].&amp;[75]"/>
            <x15:cachedUniqueName index="75" name="[resultats_exploitables].[Match_No].&amp;[76]"/>
            <x15:cachedUniqueName index="76" name="[resultats_exploitables].[Match_No].&amp;[77]"/>
            <x15:cachedUniqueName index="77" name="[resultats_exploitables].[Match_No].&amp;[78]"/>
            <x15:cachedUniqueName index="78" name="[resultats_exploitables].[Match_No].&amp;[79]"/>
            <x15:cachedUniqueName index="79" name="[resultats_exploitables].[Match_No].&amp;[80]"/>
            <x15:cachedUniqueName index="80" name="[resultats_exploitables].[Match_No].&amp;[81]"/>
            <x15:cachedUniqueName index="81" name="[resultats_exploitables].[Match_No].&amp;[82]"/>
            <x15:cachedUniqueName index="82" name="[resultats_exploitables].[Match_No].&amp;[83]"/>
            <x15:cachedUniqueName index="83" name="[resultats_exploitables].[Match_No].&amp;[84]"/>
            <x15:cachedUniqueName index="84" name="[resultats_exploitables].[Match_No].&amp;[85]"/>
            <x15:cachedUniqueName index="85" name="[resultats_exploitables].[Match_No].&amp;[86]"/>
            <x15:cachedUniqueName index="86" name="[resultats_exploitables].[Match_No].&amp;[87]"/>
            <x15:cachedUniqueName index="87" name="[resultats_exploitables].[Match_No].&amp;[88]"/>
            <x15:cachedUniqueName index="88" name="[resultats_exploitables].[Match_No].&amp;[89]"/>
            <x15:cachedUniqueName index="89" name="[resultats_exploitables].[Match_No].&amp;[90]"/>
            <x15:cachedUniqueName index="90" name="[resultats_exploitables].[Match_No].&amp;[91]"/>
            <x15:cachedUniqueName index="91" name="[resultats_exploitables].[Match_No].&amp;[92]"/>
            <x15:cachedUniqueName index="92" name="[resultats_exploitables].[Match_No].&amp;[93]"/>
            <x15:cachedUniqueName index="93" name="[resultats_exploitables].[Match_No].&amp;[94]"/>
            <x15:cachedUniqueName index="94" name="[resultats_exploitables].[Match_No].&amp;[95]"/>
            <x15:cachedUniqueName index="95" name="[resultats_exploitables].[Match_No].&amp;[96]"/>
            <x15:cachedUniqueName index="96" name="[resultats_exploitables].[Match_No].&amp;[97]"/>
            <x15:cachedUniqueName index="97" name="[resultats_exploitables].[Match_No].&amp;[98]"/>
            <x15:cachedUniqueName index="98" name="[resultats_exploitables].[Match_No].&amp;[99]"/>
            <x15:cachedUniqueName index="99" name="[resultats_exploitables].[Match_No].&amp;[100]"/>
            <x15:cachedUniqueName index="100" name="[resultats_exploitables].[Match_No].&amp;[101]"/>
            <x15:cachedUniqueName index="101" name="[resultats_exploitables].[Match_No].&amp;[102]"/>
            <x15:cachedUniqueName index="102" name="[resultats_exploitables].[Match_No].&amp;[103]"/>
            <x15:cachedUniqueName index="103" name="[resultats_exploitables].[Match_No].&amp;[104]"/>
            <x15:cachedUniqueName index="104" name="[resultats_exploitables].[Match_No].&amp;[105]"/>
            <x15:cachedUniqueName index="105" name="[resultats_exploitables].[Match_No].&amp;[106]"/>
            <x15:cachedUniqueName index="106" name="[resultats_exploitables].[Match_No].&amp;[107]"/>
            <x15:cachedUniqueName index="107" name="[resultats_exploitables].[Match_No].&amp;[108]"/>
            <x15:cachedUniqueName index="108" name="[resultats_exploitables].[Match_No].&amp;[109]"/>
            <x15:cachedUniqueName index="109" name="[resultats_exploitables].[Match_No].&amp;[110]"/>
            <x15:cachedUniqueName index="110" name="[resultats_exploitables].[Match_No].&amp;[111]"/>
            <x15:cachedUniqueName index="111" name="[resultats_exploitables].[Match_No].&amp;[112]"/>
            <x15:cachedUniqueName index="112" name="[resultats_exploitables].[Match_No].&amp;[113]"/>
            <x15:cachedUniqueName index="113" name="[resultats_exploitables].[Match_No].&amp;[114]"/>
            <x15:cachedUniqueName index="114" name="[resultats_exploitables].[Match_No].&amp;[115]"/>
            <x15:cachedUniqueName index="115" name="[resultats_exploitables].[Match_No].&amp;[116]"/>
            <x15:cachedUniqueName index="116" name="[resultats_exploitables].[Match_No].&amp;[117]"/>
            <x15:cachedUniqueName index="117" name="[resultats_exploitables].[Match_No].&amp;[118]"/>
            <x15:cachedUniqueName index="118" name="[resultats_exploitables].[Match_No].&amp;[119]"/>
            <x15:cachedUniqueName index="119" name="[resultats_exploitables].[Match_No].&amp;[120]"/>
            <x15:cachedUniqueName index="120" name="[resultats_exploitables].[Match_No].&amp;[121]"/>
            <x15:cachedUniqueName index="121" name="[resultats_exploitables].[Match_No].&amp;[122]"/>
            <x15:cachedUniqueName index="122" name="[resultats_exploitables].[Match_No].&amp;[123]"/>
            <x15:cachedUniqueName index="123" name="[resultats_exploitables].[Match_No].&amp;[124]"/>
            <x15:cachedUniqueName index="124" name="[resultats_exploitables].[Match_No].&amp;[125]"/>
            <x15:cachedUniqueName index="125" name="[resultats_exploitables].[Match_No].&amp;[126]"/>
            <x15:cachedUniqueName index="126" name="[resultats_exploitables].[Match_No].&amp;[127]"/>
            <x15:cachedUniqueName index="127" name="[resultats_exploitables].[Match_No].&amp;[128]"/>
            <x15:cachedUniqueName index="128" name="[resultats_exploitables].[Match_No].&amp;[129]"/>
            <x15:cachedUniqueName index="129" name="[resultats_exploitables].[Match_No].&amp;[130]"/>
            <x15:cachedUniqueName index="130" name="[resultats_exploitables].[Match_No].&amp;[131]"/>
            <x15:cachedUniqueName index="131" name="[resultats_exploitables].[Match_No].&amp;[132]"/>
            <x15:cachedUniqueName index="132" name="[resultats_exploitables].[Match_No].&amp;[133]"/>
            <x15:cachedUniqueName index="133" name="[resultats_exploitables].[Match_No].&amp;[134]"/>
            <x15:cachedUniqueName index="134" name="[resultats_exploitables].[Match_No].&amp;[135]"/>
            <x15:cachedUniqueName index="135" name="[resultats_exploitables].[Match_No].&amp;[136]"/>
            <x15:cachedUniqueName index="136" name="[resultats_exploitables].[Match_No].&amp;[137]"/>
            <x15:cachedUniqueName index="137" name="[resultats_exploitables].[Match_No].&amp;[138]"/>
            <x15:cachedUniqueName index="138" name="[resultats_exploitables].[Match_No].&amp;[139]"/>
            <x15:cachedUniqueName index="139" name="[resultats_exploitables].[Match_No].&amp;[140]"/>
            <x15:cachedUniqueName index="140" name="[resultats_exploitables].[Match_No].&amp;[141]"/>
            <x15:cachedUniqueName index="141" name="[resultats_exploitables].[Match_No].&amp;[142]"/>
            <x15:cachedUniqueName index="142" name="[resultats_exploitables].[Match_No].&amp;[143]"/>
            <x15:cachedUniqueName index="143" name="[resultats_exploitables].[Match_No].&amp;[144]"/>
            <x15:cachedUniqueName index="144" name="[resultats_exploitables].[Match_No].&amp;[145]"/>
            <x15:cachedUniqueName index="145" name="[resultats_exploitables].[Match_No].&amp;[146]"/>
            <x15:cachedUniqueName index="146" name="[resultats_exploitables].[Match_No].&amp;[147]"/>
            <x15:cachedUniqueName index="147" name="[resultats_exploitables].[Match_No].&amp;[148]"/>
            <x15:cachedUniqueName index="148" name="[resultats_exploitables].[Match_No].&amp;[149]"/>
            <x15:cachedUniqueName index="149" name="[resultats_exploitables].[Match_No].&amp;[150]"/>
            <x15:cachedUniqueName index="150" name="[resultats_exploitables].[Match_No].&amp;[151]"/>
            <x15:cachedUniqueName index="151" name="[resultats_exploitables].[Match_No].&amp;[152]"/>
            <x15:cachedUniqueName index="152" name="[resultats_exploitables].[Match_No].&amp;[153]"/>
            <x15:cachedUniqueName index="153" name="[resultats_exploitables].[Match_No].&amp;[154]"/>
            <x15:cachedUniqueName index="154" name="[resultats_exploitables].[Match_No].&amp;[155]"/>
            <x15:cachedUniqueName index="155" name="[resultats_exploitables].[Match_No].&amp;[156]"/>
            <x15:cachedUniqueName index="156" name="[resultats_exploitables].[Match_No].&amp;[157]"/>
            <x15:cachedUniqueName index="157" name="[resultats_exploitables].[Match_No].&amp;[158]"/>
            <x15:cachedUniqueName index="158" name="[resultats_exploitables].[Match_No].&amp;[159]"/>
            <x15:cachedUniqueName index="159" name="[resultats_exploitables].[Match_No].&amp;[160]"/>
            <x15:cachedUniqueName index="160" name="[resultats_exploitables].[Match_No].&amp;[161]"/>
            <x15:cachedUniqueName index="161" name="[resultats_exploitables].[Match_No].&amp;[162]"/>
            <x15:cachedUniqueName index="162" name="[resultats_exploitables].[Match_No].&amp;[163]"/>
            <x15:cachedUniqueName index="163" name="[resultats_exploitables].[Match_No].&amp;[164]"/>
            <x15:cachedUniqueName index="164" name="[resultats_exploitables].[Match_No].&amp;[165]"/>
            <x15:cachedUniqueName index="165" name="[resultats_exploitables].[Match_No].&amp;[166]"/>
            <x15:cachedUniqueName index="166" name="[resultats_exploitables].[Match_No].&amp;[167]"/>
            <x15:cachedUniqueName index="167" name="[resultats_exploitables].[Match_No].&amp;[168]"/>
            <x15:cachedUniqueName index="168" name="[resultats_exploitables].[Match_No].&amp;[169]"/>
            <x15:cachedUniqueName index="169" name="[resultats_exploitables].[Match_No].&amp;[170]"/>
            <x15:cachedUniqueName index="170" name="[resultats_exploitables].[Match_No].&amp;[171]"/>
            <x15:cachedUniqueName index="171" name="[resultats_exploitables].[Match_No].&amp;[172]"/>
            <x15:cachedUniqueName index="172" name="[resultats_exploitables].[Match_No].&amp;[173]"/>
            <x15:cachedUniqueName index="173" name="[resultats_exploitables].[Match_No].&amp;[174]"/>
            <x15:cachedUniqueName index="174" name="[resultats_exploitables].[Match_No].&amp;[175]"/>
            <x15:cachedUniqueName index="175" name="[resultats_exploitables].[Match_No].&amp;[176]"/>
            <x15:cachedUniqueName index="176" name="[resultats_exploitables].[Match_No].&amp;[177]"/>
            <x15:cachedUniqueName index="177" name="[resultats_exploitables].[Match_No].&amp;[178]"/>
            <x15:cachedUniqueName index="178" name="[resultats_exploitables].[Match_No].&amp;[179]"/>
            <x15:cachedUniqueName index="179" name="[resultats_exploitables].[Match_No].&amp;[180]"/>
            <x15:cachedUniqueName index="180" name="[resultats_exploitables].[Match_No].&amp;[181]"/>
            <x15:cachedUniqueName index="181" name="[resultats_exploitables].[Match_No].&amp;[182]"/>
            <x15:cachedUniqueName index="182" name="[resultats_exploitables].[Match_No].&amp;[183]"/>
            <x15:cachedUniqueName index="183" name="[resultats_exploitables].[Match_No].&amp;[184]"/>
            <x15:cachedUniqueName index="184" name="[resultats_exploitables].[Match_No].&amp;[185]"/>
            <x15:cachedUniqueName index="185" name="[resultats_exploitables].[Match_No].&amp;[186]"/>
            <x15:cachedUniqueName index="186" name="[resultats_exploitables].[Match_No].&amp;[187]"/>
            <x15:cachedUniqueName index="187" name="[resultats_exploitables].[Match_No].&amp;[188]"/>
            <x15:cachedUniqueName index="188" name="[resultats_exploitables].[Match_No].&amp;[189]"/>
            <x15:cachedUniqueName index="189" name="[resultats_exploitables].[Match_No].&amp;[190]"/>
            <x15:cachedUniqueName index="190" name="[resultats_exploitables].[Match_No].&amp;[191]"/>
            <x15:cachedUniqueName index="191" name="[resultats_exploitables].[Match_No].&amp;[192]"/>
            <x15:cachedUniqueName index="192" name="[resultats_exploitables].[Match_No].&amp;[193]"/>
            <x15:cachedUniqueName index="193" name="[resultats_exploitables].[Match_No].&amp;[194]"/>
            <x15:cachedUniqueName index="194" name="[resultats_exploitables].[Match_No].&amp;[195]"/>
            <x15:cachedUniqueName index="195" name="[resultats_exploitables].[Match_No].&amp;[196]"/>
            <x15:cachedUniqueName index="196" name="[resultats_exploitables].[Match_No].&amp;[197]"/>
            <x15:cachedUniqueName index="197" name="[resultats_exploitables].[Match_No].&amp;[198]"/>
            <x15:cachedUniqueName index="198" name="[resultats_exploitables].[Match_No].&amp;[199]"/>
            <x15:cachedUniqueName index="199" name="[resultats_exploitables].[Match_No].&amp;[200]"/>
          </x15:cachedUniqueNames>
        </ext>
      </extLst>
    </cacheField>
  </cacheFields>
  <cacheHierarchies count="11">
    <cacheHierarchy uniqueName="[resultats_exploitables].[Match_No]" caption="Match_No" attribute="1" defaultMemberUniqueName="[resultats_exploitables].[Match_No].[All]" allUniqueName="[resultats_exploitables].[Match_No].[All]" dimensionUniqueName="[resultats_exploitables]" displayFolder="" count="2" memberValueDatatype="20" unbalanced="0">
      <fieldsUsage count="2">
        <fieldUsage x="-1"/>
        <fieldUsage x="4"/>
      </fieldsUsage>
    </cacheHierarchy>
    <cacheHierarchy uniqueName="[resultats_exploitables].[Stratégie]" caption="Stratégie" attribute="1" defaultMemberUniqueName="[resultats_exploitables].[Stratégie].[All]" allUniqueName="[resultats_exploitables].[Stratégie].[All]" dimensionUniqueName="[resultats_exploitables]" displayFolder="" count="2" memberValueDatatype="130" unbalanced="0">
      <fieldsUsage count="2">
        <fieldUsage x="-1"/>
        <fieldUsage x="0"/>
      </fieldsUsage>
    </cacheHierarchy>
    <cacheHierarchy uniqueName="[resultats_exploitables].[Score]" caption="Score" attribute="1" defaultMemberUniqueName="[resultats_exploitables].[Score].[All]" allUniqueName="[resultats_exploitables].[Score].[All]" dimensionUniqueName="[resultats_exploitables]" displayFolder="" count="0" memberValueDatatype="20" unbalanced="0"/>
    <cacheHierarchy uniqueName="[resultats_exploitables].[Rang]" caption="Rang" attribute="1" defaultMemberUniqueName="[resultats_exploitables].[Rang].[All]" allUniqueName="[resultats_exploitables].[Rang].[All]" dimensionUniqueName="[resultats_exploitables]" displayFolder="" count="0" memberValueDatatype="20" unbalanced="0"/>
    <cacheHierarchy uniqueName="[resultats_exploitables].[Nb Manilles]" caption="Nb Manilles" attribute="1" defaultMemberUniqueName="[resultats_exploitables].[Nb Manilles].[All]" allUniqueName="[resultats_exploitables].[Nb Manilles].[All]" dimensionUniqueName="[resultats_exploitables]" displayFolder="" count="0" memberValueDatatype="20" unbalanced="0"/>
    <cacheHierarchy uniqueName="[resultats_exploitables].[Nb Moulins_Pris]" caption="Nb Moulins_Pris" attribute="1" defaultMemberUniqueName="[resultats_exploitables].[Nb Moulins_Pris].[All]" allUniqueName="[resultats_exploitables].[Nb Moulins_Pris].[All]" dimensionUniqueName="[resultats_exploitables]" displayFolder="" count="0" memberValueDatatype="20" unbalanced="0"/>
    <cacheHierarchy uniqueName="[Measures].[Somme de Score]" caption="Somme de Score" measure="1" displayFolder="" measureGroup="resultats_exploitab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oyenne de Score]" caption="Moyenne de Score" measure="1" displayFolder="" measureGroup="resultats_exploitab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% Production Huile]" caption="% Production Huile" measure="1" displayFolder="" measureGroup="resultats_exploitables" count="0" oneField="1">
      <fieldsUsage count="1">
        <fieldUsage x="3"/>
      </fieldsUsage>
    </cacheHierarchy>
    <cacheHierarchy uniqueName="[Measures].[__XL_Count resultats_exploitables]" caption="__XL_Count resultats_exploitables" measure="1" displayFolder="" measureGroup="resultats_exploitables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esultats_exploitables" uniqueName="[resultats_exploitables]" caption="resultats_exploitables"/>
  </dimensions>
  <measureGroups count="1">
    <measureGroup name="resultats_exploitables" caption="resultats_exploitab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3BFB6-3ED2-421F-8A80-0AD4C64474E6}" name="Tableau croisé dynamique4" cacheId="7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8" firstHeaderRow="0" firstDataRow="1" firstDataCol="1"/>
  <pivotFields count="5">
    <pivotField axis="axisRow" allDrilled="1" subtotalTop="0" showAll="0" dataSourceSort="1" defaultSubtotal="0" defaultAttributeDrillState="1">
      <items count="4">
        <item x="0" e="0"/>
        <item x="1" e="0"/>
        <item x="2" e="0"/>
        <item x="3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</items>
    </pivotField>
  </pivotFields>
  <rowFields count="2">
    <field x="0"/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oyenne de Score" fld="1" subtotal="average" baseField="0" baseItem="0"/>
    <dataField name="Somme de Score" fld="2" baseField="0" baseItem="0"/>
    <dataField fld="3" subtotal="count" baseField="0" baseItem="0" numFmtId="10"/>
  </dataFields>
  <formats count="2"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oyenne de Score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pport_Final_Stats.xlsx!resultats_exploitables">
        <x15:activeTabTopLevelEntity name="[resultats_exploitab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0D95703-BBB3-43D6-8F35-A12F2E36439D}" autoFormatId="16" applyNumberFormats="0" applyBorderFormats="0" applyFontFormats="0" applyPatternFormats="0" applyAlignmentFormats="0" applyWidthHeightFormats="0">
  <queryTableRefresh nextId="18">
    <queryTableFields count="17">
      <queryTableField id="1" name="Match_No" tableColumnId="1"/>
      <queryTableField id="2" name="NousFinal_Score" tableColumnId="2"/>
      <queryTableField id="3" name="NousFinal_Rang" tableColumnId="3"/>
      <queryTableField id="4" name="NousdeBase_Score" tableColumnId="4"/>
      <queryTableField id="5" name="NousdeBase_Rang" tableColumnId="5"/>
      <queryTableField id="6" name="Score3" tableColumnId="6"/>
      <queryTableField id="7" name="Rang3" tableColumnId="7"/>
      <queryTableField id="8" name="Score4" tableColumnId="8"/>
      <queryTableField id="9" name="Rang4" tableColumnId="9"/>
      <queryTableField id="10" name="Nb_Manilles1" tableColumnId="10"/>
      <queryTableField id="11" name="Nb_Manilles2" tableColumnId="11"/>
      <queryTableField id="12" name="Nb_Manilles3" tableColumnId="12"/>
      <queryTableField id="13" name="Nb_Manilles4" tableColumnId="13"/>
      <queryTableField id="14" name="Nb_Moulins_Pris1" tableColumnId="14"/>
      <queryTableField id="15" name="Nb_Moulins_Pris2" tableColumnId="15"/>
      <queryTableField id="16" name="Nb_Moulins_Pris3" tableColumnId="16"/>
      <queryTableField id="17" name="Nb_Moulins_Pris4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B1633F29-E5A6-4C59-9FA1-8E338211CCC0}" autoFormatId="16" applyNumberFormats="0" applyBorderFormats="0" applyFontFormats="0" applyPatternFormats="0" applyAlignmentFormats="0" applyWidthHeightFormats="0">
  <queryTableRefresh nextId="7">
    <queryTableFields count="6">
      <queryTableField id="1" name="Match_No" tableColumnId="1"/>
      <queryTableField id="2" name="Stratégie" tableColumnId="2"/>
      <queryTableField id="3" name="Score" tableColumnId="3"/>
      <queryTableField id="4" name="Rang" tableColumnId="4"/>
      <queryTableField id="5" name="Nb Manilles" tableColumnId="5"/>
      <queryTableField id="6" name="Nb Moulins_Pri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523D0F-7B0F-4496-A019-CD5F9D354B4A}" name="resultats_comparatifs" displayName="resultats_comparatifs" ref="A1:Q201" tableType="queryTable" totalsRowShown="0">
  <autoFilter ref="A1:Q201" xr:uid="{60523D0F-7B0F-4496-A019-CD5F9D354B4A}"/>
  <tableColumns count="17">
    <tableColumn id="1" xr3:uid="{5C36FEA6-1647-43C2-9010-D204DD2E9C45}" uniqueName="1" name="Match_No" queryTableFieldId="1"/>
    <tableColumn id="2" xr3:uid="{10A0C457-E799-4C1D-ABD2-A5657C95418C}" uniqueName="2" name="NousFinal_Score" queryTableFieldId="2"/>
    <tableColumn id="3" xr3:uid="{DE9665FD-9F39-46D2-AC6C-26BDE97C36F2}" uniqueName="3" name="NousFinal_Rang" queryTableFieldId="3"/>
    <tableColumn id="4" xr3:uid="{1A4F5388-BA23-44C5-AEC4-511D1A685C0C}" uniqueName="4" name="NousdeBase_Score" queryTableFieldId="4"/>
    <tableColumn id="5" xr3:uid="{EA9470D2-5280-4D50-9283-226BE631A8CA}" uniqueName="5" name="NousdeBase_Rang" queryTableFieldId="5"/>
    <tableColumn id="6" xr3:uid="{467E603B-4D59-454D-8ABD-6C640AEC0760}" uniqueName="6" name="Score3" queryTableFieldId="6"/>
    <tableColumn id="7" xr3:uid="{D6AFEBDB-26D3-4DC9-8FF3-F133B49CB1B1}" uniqueName="7" name="Rang3" queryTableFieldId="7"/>
    <tableColumn id="8" xr3:uid="{A6A1F309-18FC-47B2-9A96-40F2CD786F4F}" uniqueName="8" name="Score4" queryTableFieldId="8"/>
    <tableColumn id="9" xr3:uid="{CC7873B7-60EF-4021-9BD9-60C59BAC8AC5}" uniqueName="9" name="Rang4" queryTableFieldId="9"/>
    <tableColumn id="10" xr3:uid="{CCADBE6C-E177-40A2-9312-3F4B0155E6D5}" uniqueName="10" name="Nb_Manilles1" queryTableFieldId="10"/>
    <tableColumn id="11" xr3:uid="{47B3401C-F3C7-4C53-8B5B-9B1D9208C9E9}" uniqueName="11" name="Nb_Manilles2" queryTableFieldId="11"/>
    <tableColumn id="12" xr3:uid="{1788921D-EFE0-4F56-8FCE-873C9C546450}" uniqueName="12" name="Nb_Manilles3" queryTableFieldId="12"/>
    <tableColumn id="13" xr3:uid="{95AC8192-80EF-4801-B8DB-53A80375A2BD}" uniqueName="13" name="Nb_Manilles4" queryTableFieldId="13"/>
    <tableColumn id="14" xr3:uid="{6BBE862E-1C67-4C82-8071-0472BD34993C}" uniqueName="14" name="Nb_Moulins_Pris1" queryTableFieldId="14"/>
    <tableColumn id="15" xr3:uid="{12AB07D7-C336-47E0-9E85-90C657477C23}" uniqueName="15" name="Nb_Moulins_Pris2" queryTableFieldId="15"/>
    <tableColumn id="16" xr3:uid="{1099CCA6-9278-4A13-9E4F-FD37C7A805DC}" uniqueName="16" name="Nb_Moulins_Pris3" queryTableFieldId="16"/>
    <tableColumn id="17" xr3:uid="{8D0848EF-C73E-45EC-A7A2-4C6E79EA9A1B}" uniqueName="17" name="Nb_Moulins_Pris4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A09FC6-39BC-4591-A341-8A162B23AC2D}" name="resultats_exploitables" displayName="resultats_exploitables" ref="A1:F801" tableType="queryTable" totalsRowShown="0">
  <autoFilter ref="A1:F801" xr:uid="{EEA09FC6-39BC-4591-A341-8A162B23AC2D}"/>
  <tableColumns count="6">
    <tableColumn id="1" xr3:uid="{D68FDDCC-2325-44F8-A0F1-ECB375E3E448}" uniqueName="1" name="Match_No" queryTableFieldId="1"/>
    <tableColumn id="2" xr3:uid="{E936D8A3-49DD-4A61-AE2F-1DEA0F8764B6}" uniqueName="2" name="Stratégie" queryTableFieldId="2"/>
    <tableColumn id="3" xr3:uid="{8A990AD3-B217-4612-BB62-17DBF6328702}" uniqueName="3" name="Score" queryTableFieldId="3"/>
    <tableColumn id="4" xr3:uid="{817F7B26-BA2D-45A3-94F5-544606C37739}" uniqueName="4" name="Rang" queryTableFieldId="4"/>
    <tableColumn id="5" xr3:uid="{B48FC11C-C6FF-419D-873D-2319925846C9}" uniqueName="5" name="Nb Manilles" queryTableFieldId="5"/>
    <tableColumn id="6" xr3:uid="{6BBD90DE-61B7-425B-A4C0-357A66D4BE4D}" uniqueName="6" name="Nb Moulins_Pri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1423-D59B-4578-8E10-B3E1FFF329BD}">
  <dimension ref="A1:Q201"/>
  <sheetViews>
    <sheetView tabSelected="1" zoomScale="47" workbookViewId="0">
      <selection activeCell="C11" sqref="C11"/>
    </sheetView>
  </sheetViews>
  <sheetFormatPr baseColWidth="10" defaultRowHeight="15" x14ac:dyDescent="0.25"/>
  <cols>
    <col min="1" max="1" width="12.140625" bestFit="1" customWidth="1"/>
    <col min="2" max="2" width="18.42578125" bestFit="1" customWidth="1"/>
    <col min="3" max="3" width="17.5703125" bestFit="1" customWidth="1"/>
    <col min="4" max="4" width="20.7109375" bestFit="1" customWidth="1"/>
    <col min="5" max="5" width="20" bestFit="1" customWidth="1"/>
    <col min="6" max="6" width="9.42578125" bestFit="1" customWidth="1"/>
    <col min="7" max="7" width="8.7109375" bestFit="1" customWidth="1"/>
    <col min="8" max="8" width="9.42578125" bestFit="1" customWidth="1"/>
    <col min="9" max="9" width="8.7109375" bestFit="1" customWidth="1"/>
    <col min="10" max="13" width="15.28515625" bestFit="1" customWidth="1"/>
    <col min="14" max="17" width="19.28515625" bestFit="1" customWidth="1"/>
  </cols>
  <sheetData>
    <row r="1" spans="1:17" x14ac:dyDescent="0.2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>
        <v>1</v>
      </c>
      <c r="B2">
        <v>6239</v>
      </c>
      <c r="C2">
        <v>2</v>
      </c>
      <c r="D2">
        <v>5912</v>
      </c>
      <c r="E2">
        <v>3</v>
      </c>
      <c r="F2">
        <v>2989</v>
      </c>
      <c r="G2">
        <v>4</v>
      </c>
      <c r="H2">
        <v>6749</v>
      </c>
      <c r="I2">
        <v>1</v>
      </c>
      <c r="J2">
        <v>8</v>
      </c>
      <c r="K2">
        <v>6</v>
      </c>
      <c r="L2">
        <v>7</v>
      </c>
      <c r="M2">
        <v>5</v>
      </c>
      <c r="N2">
        <v>130</v>
      </c>
      <c r="O2">
        <v>163</v>
      </c>
      <c r="P2">
        <v>153</v>
      </c>
      <c r="Q2">
        <v>148</v>
      </c>
    </row>
    <row r="3" spans="1:17" x14ac:dyDescent="0.25">
      <c r="A3">
        <v>2</v>
      </c>
      <c r="B3">
        <v>5687</v>
      </c>
      <c r="C3">
        <v>3</v>
      </c>
      <c r="D3">
        <v>5812</v>
      </c>
      <c r="E3">
        <v>2</v>
      </c>
      <c r="F3">
        <v>4949</v>
      </c>
      <c r="G3">
        <v>4</v>
      </c>
      <c r="H3">
        <v>5842</v>
      </c>
      <c r="I3">
        <v>1</v>
      </c>
      <c r="J3">
        <v>2</v>
      </c>
      <c r="K3">
        <v>4</v>
      </c>
      <c r="L3">
        <v>1</v>
      </c>
      <c r="M3">
        <v>9</v>
      </c>
      <c r="N3">
        <v>150</v>
      </c>
      <c r="O3">
        <v>133</v>
      </c>
      <c r="P3">
        <v>123</v>
      </c>
      <c r="Q3">
        <v>136</v>
      </c>
    </row>
    <row r="4" spans="1:17" x14ac:dyDescent="0.25">
      <c r="A4">
        <v>3</v>
      </c>
      <c r="B4">
        <v>5673</v>
      </c>
      <c r="C4">
        <v>2</v>
      </c>
      <c r="D4">
        <v>5699</v>
      </c>
      <c r="E4">
        <v>1</v>
      </c>
      <c r="F4">
        <v>3936</v>
      </c>
      <c r="G4">
        <v>4</v>
      </c>
      <c r="H4">
        <v>4260</v>
      </c>
      <c r="I4">
        <v>3</v>
      </c>
      <c r="J4">
        <v>8</v>
      </c>
      <c r="K4">
        <v>8</v>
      </c>
      <c r="L4">
        <v>10</v>
      </c>
      <c r="M4">
        <v>7</v>
      </c>
      <c r="N4">
        <v>191</v>
      </c>
      <c r="O4">
        <v>160</v>
      </c>
      <c r="P4">
        <v>146</v>
      </c>
      <c r="Q4">
        <v>182</v>
      </c>
    </row>
    <row r="5" spans="1:17" x14ac:dyDescent="0.25">
      <c r="A5">
        <v>4</v>
      </c>
      <c r="B5">
        <v>5730</v>
      </c>
      <c r="C5">
        <v>4</v>
      </c>
      <c r="D5">
        <v>5740</v>
      </c>
      <c r="E5">
        <v>3</v>
      </c>
      <c r="F5">
        <v>5782</v>
      </c>
      <c r="G5">
        <v>2</v>
      </c>
      <c r="H5">
        <v>6078</v>
      </c>
      <c r="I5">
        <v>1</v>
      </c>
      <c r="J5">
        <v>3</v>
      </c>
      <c r="K5">
        <v>5</v>
      </c>
      <c r="L5">
        <v>7</v>
      </c>
      <c r="M5">
        <v>5</v>
      </c>
      <c r="N5">
        <v>126</v>
      </c>
      <c r="O5">
        <v>125</v>
      </c>
      <c r="P5">
        <v>114</v>
      </c>
      <c r="Q5">
        <v>124</v>
      </c>
    </row>
    <row r="6" spans="1:17" x14ac:dyDescent="0.25">
      <c r="A6">
        <v>5</v>
      </c>
      <c r="B6">
        <v>12881</v>
      </c>
      <c r="C6">
        <v>1</v>
      </c>
      <c r="D6">
        <v>998</v>
      </c>
      <c r="E6">
        <v>3</v>
      </c>
      <c r="F6">
        <v>4253</v>
      </c>
      <c r="G6">
        <v>2</v>
      </c>
      <c r="H6">
        <v>503</v>
      </c>
      <c r="I6">
        <v>4</v>
      </c>
      <c r="J6">
        <v>9</v>
      </c>
      <c r="K6">
        <v>1</v>
      </c>
      <c r="L6">
        <v>8</v>
      </c>
      <c r="M6">
        <v>1</v>
      </c>
      <c r="N6">
        <v>171</v>
      </c>
      <c r="O6">
        <v>18</v>
      </c>
      <c r="P6">
        <v>150</v>
      </c>
      <c r="Q6">
        <v>18</v>
      </c>
    </row>
    <row r="7" spans="1:17" x14ac:dyDescent="0.25">
      <c r="A7">
        <v>6</v>
      </c>
      <c r="B7">
        <v>5615</v>
      </c>
      <c r="C7">
        <v>1</v>
      </c>
      <c r="D7">
        <v>5262</v>
      </c>
      <c r="E7">
        <v>2</v>
      </c>
      <c r="F7">
        <v>4600</v>
      </c>
      <c r="G7">
        <v>4</v>
      </c>
      <c r="H7">
        <v>4923</v>
      </c>
      <c r="I7">
        <v>3</v>
      </c>
      <c r="J7">
        <v>4</v>
      </c>
      <c r="K7">
        <v>11</v>
      </c>
      <c r="L7">
        <v>6</v>
      </c>
      <c r="M7">
        <v>10</v>
      </c>
      <c r="N7">
        <v>166</v>
      </c>
      <c r="O7">
        <v>151</v>
      </c>
      <c r="P7">
        <v>141</v>
      </c>
      <c r="Q7">
        <v>171</v>
      </c>
    </row>
    <row r="8" spans="1:17" x14ac:dyDescent="0.25">
      <c r="A8">
        <v>7</v>
      </c>
      <c r="B8">
        <v>778</v>
      </c>
      <c r="C8">
        <v>4</v>
      </c>
      <c r="D8">
        <v>1755</v>
      </c>
      <c r="E8">
        <v>3</v>
      </c>
      <c r="F8">
        <v>5273</v>
      </c>
      <c r="G8">
        <v>2</v>
      </c>
      <c r="H8">
        <v>7013</v>
      </c>
      <c r="I8">
        <v>1</v>
      </c>
      <c r="J8">
        <v>1</v>
      </c>
      <c r="K8">
        <v>1</v>
      </c>
      <c r="L8">
        <v>1</v>
      </c>
      <c r="M8">
        <v>1</v>
      </c>
      <c r="N8">
        <v>20</v>
      </c>
      <c r="O8">
        <v>39</v>
      </c>
      <c r="P8">
        <v>42</v>
      </c>
      <c r="Q8">
        <v>52</v>
      </c>
    </row>
    <row r="9" spans="1:17" x14ac:dyDescent="0.25">
      <c r="A9">
        <v>8</v>
      </c>
      <c r="B9">
        <v>11300</v>
      </c>
      <c r="C9">
        <v>1</v>
      </c>
      <c r="D9">
        <v>1112</v>
      </c>
      <c r="E9">
        <v>3</v>
      </c>
      <c r="F9">
        <v>200</v>
      </c>
      <c r="G9">
        <v>4</v>
      </c>
      <c r="H9">
        <v>10108</v>
      </c>
      <c r="I9">
        <v>2</v>
      </c>
      <c r="J9">
        <v>2</v>
      </c>
      <c r="K9">
        <v>0</v>
      </c>
      <c r="L9">
        <v>4</v>
      </c>
      <c r="M9">
        <v>2</v>
      </c>
      <c r="N9">
        <v>134</v>
      </c>
      <c r="O9">
        <v>13</v>
      </c>
      <c r="P9">
        <v>14</v>
      </c>
      <c r="Q9">
        <v>122</v>
      </c>
    </row>
    <row r="10" spans="1:17" x14ac:dyDescent="0.25">
      <c r="A10">
        <v>9</v>
      </c>
      <c r="B10">
        <v>2935</v>
      </c>
      <c r="C10">
        <v>2</v>
      </c>
      <c r="D10">
        <v>3169</v>
      </c>
      <c r="E10">
        <v>1</v>
      </c>
      <c r="F10">
        <v>1701</v>
      </c>
      <c r="G10">
        <v>3</v>
      </c>
      <c r="H10">
        <v>148</v>
      </c>
      <c r="I10">
        <v>4</v>
      </c>
      <c r="J10">
        <v>3</v>
      </c>
      <c r="K10">
        <v>0</v>
      </c>
      <c r="L10">
        <v>2</v>
      </c>
      <c r="M10">
        <v>0</v>
      </c>
      <c r="N10">
        <v>41</v>
      </c>
      <c r="O10">
        <v>7</v>
      </c>
      <c r="P10">
        <v>45</v>
      </c>
      <c r="Q10">
        <v>10</v>
      </c>
    </row>
    <row r="11" spans="1:17" x14ac:dyDescent="0.25">
      <c r="A11">
        <v>10</v>
      </c>
      <c r="B11">
        <v>153</v>
      </c>
      <c r="C11">
        <v>4</v>
      </c>
      <c r="D11">
        <v>353</v>
      </c>
      <c r="E11">
        <v>2</v>
      </c>
      <c r="F11">
        <v>6382</v>
      </c>
      <c r="G11">
        <v>1</v>
      </c>
      <c r="H11">
        <v>232</v>
      </c>
      <c r="I11">
        <v>3</v>
      </c>
      <c r="J11">
        <v>2</v>
      </c>
      <c r="K11">
        <v>2</v>
      </c>
      <c r="L11">
        <v>0</v>
      </c>
      <c r="M11">
        <v>1</v>
      </c>
      <c r="N11">
        <v>15</v>
      </c>
      <c r="O11">
        <v>22</v>
      </c>
      <c r="P11">
        <v>11</v>
      </c>
      <c r="Q11">
        <v>10</v>
      </c>
    </row>
    <row r="12" spans="1:17" x14ac:dyDescent="0.25">
      <c r="A12">
        <v>11</v>
      </c>
      <c r="B12">
        <v>6395</v>
      </c>
      <c r="C12">
        <v>2</v>
      </c>
      <c r="D12">
        <v>1376</v>
      </c>
      <c r="E12">
        <v>4</v>
      </c>
      <c r="F12">
        <v>6498</v>
      </c>
      <c r="G12">
        <v>1</v>
      </c>
      <c r="H12">
        <v>2970</v>
      </c>
      <c r="I12">
        <v>3</v>
      </c>
      <c r="J12">
        <v>7</v>
      </c>
      <c r="K12">
        <v>7</v>
      </c>
      <c r="L12">
        <v>5</v>
      </c>
      <c r="M12">
        <v>6</v>
      </c>
      <c r="N12">
        <v>180</v>
      </c>
      <c r="O12">
        <v>157</v>
      </c>
      <c r="P12">
        <v>189</v>
      </c>
      <c r="Q12">
        <v>108</v>
      </c>
    </row>
    <row r="13" spans="1:17" x14ac:dyDescent="0.25">
      <c r="A13">
        <v>12</v>
      </c>
      <c r="B13">
        <v>3393</v>
      </c>
      <c r="C13">
        <v>3</v>
      </c>
      <c r="D13">
        <v>5744</v>
      </c>
      <c r="E13">
        <v>1</v>
      </c>
      <c r="F13">
        <v>4506</v>
      </c>
      <c r="G13">
        <v>2</v>
      </c>
      <c r="H13">
        <v>2850</v>
      </c>
      <c r="I13">
        <v>4</v>
      </c>
      <c r="J13">
        <v>0</v>
      </c>
      <c r="K13">
        <v>1</v>
      </c>
      <c r="L13">
        <v>0</v>
      </c>
      <c r="M13">
        <v>1</v>
      </c>
      <c r="N13">
        <v>351</v>
      </c>
      <c r="O13">
        <v>336</v>
      </c>
      <c r="P13">
        <v>329</v>
      </c>
      <c r="Q13">
        <v>358</v>
      </c>
    </row>
    <row r="14" spans="1:17" x14ac:dyDescent="0.25">
      <c r="A14">
        <v>13</v>
      </c>
      <c r="B14">
        <v>12319</v>
      </c>
      <c r="C14">
        <v>1</v>
      </c>
      <c r="D14">
        <v>813</v>
      </c>
      <c r="E14">
        <v>4</v>
      </c>
      <c r="F14">
        <v>5015</v>
      </c>
      <c r="G14">
        <v>2</v>
      </c>
      <c r="H14">
        <v>1109</v>
      </c>
      <c r="I14">
        <v>3</v>
      </c>
      <c r="J14">
        <v>12</v>
      </c>
      <c r="K14">
        <v>3</v>
      </c>
      <c r="L14">
        <v>11</v>
      </c>
      <c r="M14">
        <v>5</v>
      </c>
      <c r="N14">
        <v>123</v>
      </c>
      <c r="O14">
        <v>31</v>
      </c>
      <c r="P14">
        <v>105</v>
      </c>
      <c r="Q14">
        <v>28</v>
      </c>
    </row>
    <row r="15" spans="1:17" x14ac:dyDescent="0.25">
      <c r="A15">
        <v>14</v>
      </c>
      <c r="B15">
        <v>7825</v>
      </c>
      <c r="C15">
        <v>1</v>
      </c>
      <c r="D15">
        <v>2633</v>
      </c>
      <c r="E15">
        <v>3</v>
      </c>
      <c r="F15">
        <v>4719</v>
      </c>
      <c r="G15">
        <v>2</v>
      </c>
      <c r="H15">
        <v>1557</v>
      </c>
      <c r="I15">
        <v>4</v>
      </c>
      <c r="J15">
        <v>7</v>
      </c>
      <c r="K15">
        <v>4</v>
      </c>
      <c r="L15">
        <v>7</v>
      </c>
      <c r="M15">
        <v>6</v>
      </c>
      <c r="N15">
        <v>98</v>
      </c>
      <c r="O15">
        <v>49</v>
      </c>
      <c r="P15">
        <v>80</v>
      </c>
      <c r="Q15">
        <v>61</v>
      </c>
    </row>
    <row r="16" spans="1:17" x14ac:dyDescent="0.25">
      <c r="A16">
        <v>15</v>
      </c>
      <c r="B16">
        <v>7365</v>
      </c>
      <c r="C16">
        <v>1</v>
      </c>
      <c r="D16">
        <v>3873</v>
      </c>
      <c r="E16">
        <v>3</v>
      </c>
      <c r="F16">
        <v>5669</v>
      </c>
      <c r="G16">
        <v>2</v>
      </c>
      <c r="H16">
        <v>3248</v>
      </c>
      <c r="I16">
        <v>4</v>
      </c>
      <c r="J16">
        <v>3</v>
      </c>
      <c r="K16">
        <v>5</v>
      </c>
      <c r="L16">
        <v>6</v>
      </c>
      <c r="M16">
        <v>7</v>
      </c>
      <c r="N16">
        <v>174</v>
      </c>
      <c r="O16">
        <v>137</v>
      </c>
      <c r="P16">
        <v>144</v>
      </c>
      <c r="Q16">
        <v>113</v>
      </c>
    </row>
    <row r="17" spans="1:17" x14ac:dyDescent="0.25">
      <c r="A17">
        <v>16</v>
      </c>
      <c r="B17">
        <v>10420</v>
      </c>
      <c r="C17">
        <v>1</v>
      </c>
      <c r="D17">
        <v>2293</v>
      </c>
      <c r="E17">
        <v>4</v>
      </c>
      <c r="F17">
        <v>2608</v>
      </c>
      <c r="G17">
        <v>3</v>
      </c>
      <c r="H17">
        <v>4320</v>
      </c>
      <c r="I17">
        <v>2</v>
      </c>
      <c r="J17">
        <v>14</v>
      </c>
      <c r="K17">
        <v>6</v>
      </c>
      <c r="L17">
        <v>6</v>
      </c>
      <c r="M17">
        <v>10</v>
      </c>
      <c r="N17">
        <v>128</v>
      </c>
      <c r="O17">
        <v>60</v>
      </c>
      <c r="P17">
        <v>72</v>
      </c>
      <c r="Q17">
        <v>110</v>
      </c>
    </row>
    <row r="18" spans="1:17" x14ac:dyDescent="0.25">
      <c r="A18">
        <v>17</v>
      </c>
      <c r="B18">
        <v>5632</v>
      </c>
      <c r="C18">
        <v>2</v>
      </c>
      <c r="D18">
        <v>3428</v>
      </c>
      <c r="E18">
        <v>4</v>
      </c>
      <c r="F18">
        <v>6685</v>
      </c>
      <c r="G18">
        <v>1</v>
      </c>
      <c r="H18">
        <v>4385</v>
      </c>
      <c r="I18">
        <v>3</v>
      </c>
      <c r="J18">
        <v>3</v>
      </c>
      <c r="K18">
        <v>2</v>
      </c>
      <c r="L18">
        <v>2</v>
      </c>
      <c r="M18">
        <v>3</v>
      </c>
      <c r="N18">
        <v>134</v>
      </c>
      <c r="O18">
        <v>91</v>
      </c>
      <c r="P18">
        <v>150</v>
      </c>
      <c r="Q18">
        <v>81</v>
      </c>
    </row>
    <row r="19" spans="1:17" x14ac:dyDescent="0.25">
      <c r="A19">
        <v>18</v>
      </c>
      <c r="B19">
        <v>4779</v>
      </c>
      <c r="C19">
        <v>2</v>
      </c>
      <c r="D19">
        <v>4541</v>
      </c>
      <c r="E19">
        <v>4</v>
      </c>
      <c r="F19">
        <v>6643</v>
      </c>
      <c r="G19">
        <v>1</v>
      </c>
      <c r="H19">
        <v>4756</v>
      </c>
      <c r="I19">
        <v>3</v>
      </c>
      <c r="J19">
        <v>2</v>
      </c>
      <c r="K19">
        <v>2</v>
      </c>
      <c r="L19">
        <v>1</v>
      </c>
      <c r="M19">
        <v>4</v>
      </c>
      <c r="N19">
        <v>177</v>
      </c>
      <c r="O19">
        <v>123</v>
      </c>
      <c r="P19">
        <v>152</v>
      </c>
      <c r="Q19">
        <v>108</v>
      </c>
    </row>
    <row r="20" spans="1:17" x14ac:dyDescent="0.25">
      <c r="A20">
        <v>19</v>
      </c>
      <c r="B20">
        <v>5725</v>
      </c>
      <c r="C20">
        <v>2</v>
      </c>
      <c r="D20">
        <v>2178</v>
      </c>
      <c r="E20">
        <v>4</v>
      </c>
      <c r="F20">
        <v>9394</v>
      </c>
      <c r="G20">
        <v>1</v>
      </c>
      <c r="H20">
        <v>3461</v>
      </c>
      <c r="I20">
        <v>3</v>
      </c>
      <c r="J20">
        <v>4</v>
      </c>
      <c r="K20">
        <v>25</v>
      </c>
      <c r="L20">
        <v>4</v>
      </c>
      <c r="M20">
        <v>20</v>
      </c>
      <c r="N20">
        <v>151</v>
      </c>
      <c r="O20">
        <v>143</v>
      </c>
      <c r="P20">
        <v>135</v>
      </c>
      <c r="Q20">
        <v>157</v>
      </c>
    </row>
    <row r="21" spans="1:17" x14ac:dyDescent="0.25">
      <c r="A21">
        <v>20</v>
      </c>
      <c r="B21">
        <v>6177</v>
      </c>
      <c r="C21">
        <v>2</v>
      </c>
      <c r="D21">
        <v>748</v>
      </c>
      <c r="E21">
        <v>4</v>
      </c>
      <c r="F21">
        <v>7924</v>
      </c>
      <c r="G21">
        <v>1</v>
      </c>
      <c r="H21">
        <v>1138</v>
      </c>
      <c r="I21">
        <v>3</v>
      </c>
      <c r="J21">
        <v>15</v>
      </c>
      <c r="K21">
        <v>3</v>
      </c>
      <c r="L21">
        <v>14</v>
      </c>
      <c r="M21">
        <v>6</v>
      </c>
      <c r="N21">
        <v>142</v>
      </c>
      <c r="O21">
        <v>19</v>
      </c>
      <c r="P21">
        <v>141</v>
      </c>
      <c r="Q21">
        <v>16</v>
      </c>
    </row>
    <row r="22" spans="1:17" x14ac:dyDescent="0.25">
      <c r="A22">
        <v>21</v>
      </c>
      <c r="B22">
        <v>7174</v>
      </c>
      <c r="C22">
        <v>2</v>
      </c>
      <c r="D22">
        <v>846</v>
      </c>
      <c r="E22">
        <v>4</v>
      </c>
      <c r="F22">
        <v>11481</v>
      </c>
      <c r="G22">
        <v>1</v>
      </c>
      <c r="H22">
        <v>1134</v>
      </c>
      <c r="I22">
        <v>3</v>
      </c>
      <c r="J22">
        <v>3</v>
      </c>
      <c r="K22">
        <v>0</v>
      </c>
      <c r="L22">
        <v>2</v>
      </c>
      <c r="M22">
        <v>0</v>
      </c>
      <c r="N22">
        <v>157</v>
      </c>
      <c r="O22">
        <v>30</v>
      </c>
      <c r="P22">
        <v>153</v>
      </c>
      <c r="Q22">
        <v>29</v>
      </c>
    </row>
    <row r="23" spans="1:17" x14ac:dyDescent="0.25">
      <c r="A23">
        <v>22</v>
      </c>
      <c r="B23">
        <v>6509</v>
      </c>
      <c r="C23">
        <v>2</v>
      </c>
      <c r="D23">
        <v>2213</v>
      </c>
      <c r="E23">
        <v>4</v>
      </c>
      <c r="F23">
        <v>4592</v>
      </c>
      <c r="G23">
        <v>3</v>
      </c>
      <c r="H23">
        <v>6546</v>
      </c>
      <c r="I23">
        <v>1</v>
      </c>
      <c r="J23">
        <v>12</v>
      </c>
      <c r="K23">
        <v>13</v>
      </c>
      <c r="L23">
        <v>9</v>
      </c>
      <c r="M23">
        <v>7</v>
      </c>
      <c r="N23">
        <v>107</v>
      </c>
      <c r="O23">
        <v>74</v>
      </c>
      <c r="P23">
        <v>118</v>
      </c>
      <c r="Q23">
        <v>107</v>
      </c>
    </row>
    <row r="24" spans="1:17" x14ac:dyDescent="0.25">
      <c r="A24">
        <v>23</v>
      </c>
      <c r="B24">
        <v>12327</v>
      </c>
      <c r="C24">
        <v>1</v>
      </c>
      <c r="D24">
        <v>1795</v>
      </c>
      <c r="E24">
        <v>4</v>
      </c>
      <c r="F24">
        <v>2589</v>
      </c>
      <c r="G24">
        <v>2</v>
      </c>
      <c r="H24">
        <v>1994</v>
      </c>
      <c r="I24">
        <v>3</v>
      </c>
      <c r="J24">
        <v>16</v>
      </c>
      <c r="K24">
        <v>10</v>
      </c>
      <c r="L24">
        <v>16</v>
      </c>
      <c r="M24">
        <v>11</v>
      </c>
      <c r="N24">
        <v>122</v>
      </c>
      <c r="O24">
        <v>60</v>
      </c>
      <c r="P24">
        <v>107</v>
      </c>
      <c r="Q24">
        <v>83</v>
      </c>
    </row>
    <row r="25" spans="1:17" x14ac:dyDescent="0.25">
      <c r="A25">
        <v>24</v>
      </c>
      <c r="B25">
        <v>9557</v>
      </c>
      <c r="C25">
        <v>1</v>
      </c>
      <c r="D25">
        <v>1833</v>
      </c>
      <c r="E25">
        <v>3</v>
      </c>
      <c r="F25">
        <v>6431</v>
      </c>
      <c r="G25">
        <v>2</v>
      </c>
      <c r="H25">
        <v>832</v>
      </c>
      <c r="I25">
        <v>4</v>
      </c>
      <c r="J25">
        <v>3</v>
      </c>
      <c r="K25">
        <v>1</v>
      </c>
      <c r="L25">
        <v>4</v>
      </c>
      <c r="M25">
        <v>0</v>
      </c>
      <c r="N25">
        <v>170</v>
      </c>
      <c r="O25">
        <v>37</v>
      </c>
      <c r="P25">
        <v>166</v>
      </c>
      <c r="Q25">
        <v>32</v>
      </c>
    </row>
    <row r="26" spans="1:17" x14ac:dyDescent="0.25">
      <c r="A26">
        <v>25</v>
      </c>
      <c r="B26">
        <v>6306</v>
      </c>
      <c r="C26">
        <v>1</v>
      </c>
      <c r="D26">
        <v>4827</v>
      </c>
      <c r="E26">
        <v>3</v>
      </c>
      <c r="F26">
        <v>5721</v>
      </c>
      <c r="G26">
        <v>2</v>
      </c>
      <c r="H26">
        <v>4613</v>
      </c>
      <c r="I26">
        <v>4</v>
      </c>
      <c r="J26">
        <v>3</v>
      </c>
      <c r="K26">
        <v>11</v>
      </c>
      <c r="L26">
        <v>4</v>
      </c>
      <c r="M26">
        <v>8</v>
      </c>
      <c r="N26">
        <v>141</v>
      </c>
      <c r="O26">
        <v>131</v>
      </c>
      <c r="P26">
        <v>139</v>
      </c>
      <c r="Q26">
        <v>126</v>
      </c>
    </row>
    <row r="27" spans="1:17" x14ac:dyDescent="0.25">
      <c r="A27">
        <v>26</v>
      </c>
      <c r="B27">
        <v>5914</v>
      </c>
      <c r="C27">
        <v>2</v>
      </c>
      <c r="D27">
        <v>5958</v>
      </c>
      <c r="E27">
        <v>1</v>
      </c>
      <c r="F27">
        <v>4145</v>
      </c>
      <c r="G27">
        <v>4</v>
      </c>
      <c r="H27">
        <v>5882</v>
      </c>
      <c r="I27">
        <v>3</v>
      </c>
      <c r="J27">
        <v>4</v>
      </c>
      <c r="K27">
        <v>4</v>
      </c>
      <c r="L27">
        <v>4</v>
      </c>
      <c r="M27">
        <v>5</v>
      </c>
      <c r="N27">
        <v>155</v>
      </c>
      <c r="O27">
        <v>161</v>
      </c>
      <c r="P27">
        <v>150</v>
      </c>
      <c r="Q27">
        <v>162</v>
      </c>
    </row>
    <row r="28" spans="1:17" x14ac:dyDescent="0.25">
      <c r="A28">
        <v>27</v>
      </c>
      <c r="B28">
        <v>4689</v>
      </c>
      <c r="C28">
        <v>4</v>
      </c>
      <c r="D28">
        <v>4764</v>
      </c>
      <c r="E28">
        <v>3</v>
      </c>
      <c r="F28">
        <v>6994</v>
      </c>
      <c r="G28">
        <v>1</v>
      </c>
      <c r="H28">
        <v>4776</v>
      </c>
      <c r="I28">
        <v>2</v>
      </c>
      <c r="J28">
        <v>6</v>
      </c>
      <c r="K28">
        <v>8</v>
      </c>
      <c r="L28">
        <v>5</v>
      </c>
      <c r="M28">
        <v>10</v>
      </c>
      <c r="N28">
        <v>142</v>
      </c>
      <c r="O28">
        <v>112</v>
      </c>
      <c r="P28">
        <v>127</v>
      </c>
      <c r="Q28">
        <v>99</v>
      </c>
    </row>
    <row r="29" spans="1:17" x14ac:dyDescent="0.25">
      <c r="A29">
        <v>28</v>
      </c>
      <c r="B29">
        <v>9535</v>
      </c>
      <c r="C29">
        <v>1</v>
      </c>
      <c r="D29">
        <v>3715</v>
      </c>
      <c r="E29">
        <v>3</v>
      </c>
      <c r="F29">
        <v>4009</v>
      </c>
      <c r="G29">
        <v>2</v>
      </c>
      <c r="H29">
        <v>3311</v>
      </c>
      <c r="I29">
        <v>4</v>
      </c>
      <c r="J29">
        <v>6</v>
      </c>
      <c r="K29">
        <v>8</v>
      </c>
      <c r="L29">
        <v>6</v>
      </c>
      <c r="M29">
        <v>11</v>
      </c>
      <c r="N29">
        <v>119</v>
      </c>
      <c r="O29">
        <v>95</v>
      </c>
      <c r="P29">
        <v>95</v>
      </c>
      <c r="Q29">
        <v>82</v>
      </c>
    </row>
    <row r="30" spans="1:17" x14ac:dyDescent="0.25">
      <c r="A30">
        <v>29</v>
      </c>
      <c r="B30">
        <v>3639</v>
      </c>
      <c r="C30">
        <v>2</v>
      </c>
      <c r="D30">
        <v>1735</v>
      </c>
      <c r="E30">
        <v>3</v>
      </c>
      <c r="F30">
        <v>1008</v>
      </c>
      <c r="G30">
        <v>4</v>
      </c>
      <c r="H30">
        <v>6521</v>
      </c>
      <c r="I30">
        <v>1</v>
      </c>
      <c r="J30">
        <v>5</v>
      </c>
      <c r="K30">
        <v>2</v>
      </c>
      <c r="L30">
        <v>3</v>
      </c>
      <c r="M30">
        <v>3</v>
      </c>
      <c r="N30">
        <v>48</v>
      </c>
      <c r="O30">
        <v>50</v>
      </c>
      <c r="P30">
        <v>47</v>
      </c>
      <c r="Q30">
        <v>58</v>
      </c>
    </row>
    <row r="31" spans="1:17" x14ac:dyDescent="0.25">
      <c r="A31">
        <v>30</v>
      </c>
      <c r="B31">
        <v>2907</v>
      </c>
      <c r="C31">
        <v>2</v>
      </c>
      <c r="D31">
        <v>1434</v>
      </c>
      <c r="E31">
        <v>3</v>
      </c>
      <c r="F31">
        <v>208</v>
      </c>
      <c r="G31">
        <v>4</v>
      </c>
      <c r="H31">
        <v>4321</v>
      </c>
      <c r="I31">
        <v>1</v>
      </c>
      <c r="J31">
        <v>2</v>
      </c>
      <c r="K31">
        <v>0</v>
      </c>
      <c r="L31">
        <v>0</v>
      </c>
      <c r="M31">
        <v>2</v>
      </c>
      <c r="N31">
        <v>45</v>
      </c>
      <c r="O31">
        <v>10</v>
      </c>
      <c r="P31">
        <v>9</v>
      </c>
      <c r="Q31">
        <v>54</v>
      </c>
    </row>
    <row r="32" spans="1:17" x14ac:dyDescent="0.25">
      <c r="A32">
        <v>31</v>
      </c>
      <c r="B32">
        <v>4358</v>
      </c>
      <c r="C32">
        <v>2</v>
      </c>
      <c r="D32">
        <v>1371</v>
      </c>
      <c r="E32">
        <v>3</v>
      </c>
      <c r="F32">
        <v>11975</v>
      </c>
      <c r="G32">
        <v>1</v>
      </c>
      <c r="H32">
        <v>1201</v>
      </c>
      <c r="I32">
        <v>4</v>
      </c>
      <c r="J32">
        <v>1</v>
      </c>
      <c r="K32">
        <v>32</v>
      </c>
      <c r="L32">
        <v>0</v>
      </c>
      <c r="M32">
        <v>31</v>
      </c>
      <c r="N32">
        <v>181</v>
      </c>
      <c r="O32">
        <v>177</v>
      </c>
      <c r="P32">
        <v>179</v>
      </c>
      <c r="Q32">
        <v>175</v>
      </c>
    </row>
    <row r="33" spans="1:17" x14ac:dyDescent="0.25">
      <c r="A33">
        <v>32</v>
      </c>
      <c r="B33">
        <v>5068</v>
      </c>
      <c r="C33">
        <v>3</v>
      </c>
      <c r="D33">
        <v>4123</v>
      </c>
      <c r="E33">
        <v>4</v>
      </c>
      <c r="F33">
        <v>5210</v>
      </c>
      <c r="G33">
        <v>2</v>
      </c>
      <c r="H33">
        <v>6521</v>
      </c>
      <c r="I33">
        <v>1</v>
      </c>
      <c r="J33">
        <v>7</v>
      </c>
      <c r="K33">
        <v>9</v>
      </c>
      <c r="L33">
        <v>8</v>
      </c>
      <c r="M33">
        <v>5</v>
      </c>
      <c r="N33">
        <v>145</v>
      </c>
      <c r="O33">
        <v>145</v>
      </c>
      <c r="P33">
        <v>140</v>
      </c>
      <c r="Q33">
        <v>149</v>
      </c>
    </row>
    <row r="34" spans="1:17" x14ac:dyDescent="0.25">
      <c r="A34">
        <v>33</v>
      </c>
      <c r="B34">
        <v>10284</v>
      </c>
      <c r="C34">
        <v>1</v>
      </c>
      <c r="D34">
        <v>1023</v>
      </c>
      <c r="E34">
        <v>4</v>
      </c>
      <c r="F34">
        <v>6042</v>
      </c>
      <c r="G34">
        <v>2</v>
      </c>
      <c r="H34">
        <v>3226</v>
      </c>
      <c r="I34">
        <v>3</v>
      </c>
      <c r="J34">
        <v>8</v>
      </c>
      <c r="K34">
        <v>7</v>
      </c>
      <c r="L34">
        <v>6</v>
      </c>
      <c r="M34">
        <v>11</v>
      </c>
      <c r="N34">
        <v>143</v>
      </c>
      <c r="O34">
        <v>32</v>
      </c>
      <c r="P34">
        <v>122</v>
      </c>
      <c r="Q34">
        <v>61</v>
      </c>
    </row>
    <row r="35" spans="1:17" x14ac:dyDescent="0.25">
      <c r="A35">
        <v>34</v>
      </c>
      <c r="B35">
        <v>6056</v>
      </c>
      <c r="C35">
        <v>2</v>
      </c>
      <c r="D35">
        <v>4118</v>
      </c>
      <c r="E35">
        <v>4</v>
      </c>
      <c r="F35">
        <v>5988</v>
      </c>
      <c r="G35">
        <v>3</v>
      </c>
      <c r="H35">
        <v>6202</v>
      </c>
      <c r="I35">
        <v>1</v>
      </c>
      <c r="J35">
        <v>4</v>
      </c>
      <c r="K35">
        <v>5</v>
      </c>
      <c r="L35">
        <v>1</v>
      </c>
      <c r="M35">
        <v>4</v>
      </c>
      <c r="N35">
        <v>168</v>
      </c>
      <c r="O35">
        <v>170</v>
      </c>
      <c r="P35">
        <v>151</v>
      </c>
      <c r="Q35">
        <v>171</v>
      </c>
    </row>
    <row r="36" spans="1:17" x14ac:dyDescent="0.25">
      <c r="A36">
        <v>35</v>
      </c>
      <c r="B36">
        <v>7389</v>
      </c>
      <c r="C36">
        <v>2</v>
      </c>
      <c r="D36">
        <v>2418</v>
      </c>
      <c r="E36">
        <v>4</v>
      </c>
      <c r="F36">
        <v>2575</v>
      </c>
      <c r="G36">
        <v>3</v>
      </c>
      <c r="H36">
        <v>7595</v>
      </c>
      <c r="I36">
        <v>1</v>
      </c>
      <c r="J36">
        <v>9</v>
      </c>
      <c r="K36">
        <v>5</v>
      </c>
      <c r="L36">
        <v>9</v>
      </c>
      <c r="M36">
        <v>6</v>
      </c>
      <c r="N36">
        <v>134</v>
      </c>
      <c r="O36">
        <v>89</v>
      </c>
      <c r="P36">
        <v>77</v>
      </c>
      <c r="Q36">
        <v>120</v>
      </c>
    </row>
    <row r="37" spans="1:17" x14ac:dyDescent="0.25">
      <c r="A37">
        <v>36</v>
      </c>
      <c r="B37">
        <v>5687</v>
      </c>
      <c r="C37">
        <v>1</v>
      </c>
      <c r="D37">
        <v>5169</v>
      </c>
      <c r="E37">
        <v>3</v>
      </c>
      <c r="F37">
        <v>4740</v>
      </c>
      <c r="G37">
        <v>4</v>
      </c>
      <c r="H37">
        <v>5337</v>
      </c>
      <c r="I37">
        <v>2</v>
      </c>
      <c r="J37">
        <v>4</v>
      </c>
      <c r="K37">
        <v>5</v>
      </c>
      <c r="L37">
        <v>9</v>
      </c>
      <c r="M37">
        <v>6</v>
      </c>
      <c r="N37">
        <v>118</v>
      </c>
      <c r="O37">
        <v>141</v>
      </c>
      <c r="P37">
        <v>121</v>
      </c>
      <c r="Q37">
        <v>129</v>
      </c>
    </row>
    <row r="38" spans="1:17" x14ac:dyDescent="0.25">
      <c r="A38">
        <v>37</v>
      </c>
      <c r="B38">
        <v>9024</v>
      </c>
      <c r="C38">
        <v>1</v>
      </c>
      <c r="D38">
        <v>2914</v>
      </c>
      <c r="E38">
        <v>3</v>
      </c>
      <c r="F38">
        <v>2493</v>
      </c>
      <c r="G38">
        <v>4</v>
      </c>
      <c r="H38">
        <v>4998</v>
      </c>
      <c r="I38">
        <v>2</v>
      </c>
      <c r="J38">
        <v>8</v>
      </c>
      <c r="K38">
        <v>7</v>
      </c>
      <c r="L38">
        <v>4</v>
      </c>
      <c r="M38">
        <v>6</v>
      </c>
      <c r="N38">
        <v>128</v>
      </c>
      <c r="O38">
        <v>60</v>
      </c>
      <c r="P38">
        <v>78</v>
      </c>
      <c r="Q38">
        <v>104</v>
      </c>
    </row>
    <row r="39" spans="1:17" x14ac:dyDescent="0.25">
      <c r="A39">
        <v>38</v>
      </c>
      <c r="B39">
        <v>5185</v>
      </c>
      <c r="C39">
        <v>3</v>
      </c>
      <c r="D39">
        <v>5915</v>
      </c>
      <c r="E39">
        <v>1</v>
      </c>
      <c r="F39">
        <v>3463</v>
      </c>
      <c r="G39">
        <v>4</v>
      </c>
      <c r="H39">
        <v>5861</v>
      </c>
      <c r="I39">
        <v>2</v>
      </c>
      <c r="J39">
        <v>10</v>
      </c>
      <c r="K39">
        <v>9</v>
      </c>
      <c r="L39">
        <v>4</v>
      </c>
      <c r="M39">
        <v>6</v>
      </c>
      <c r="N39">
        <v>110</v>
      </c>
      <c r="O39">
        <v>100</v>
      </c>
      <c r="P39">
        <v>70</v>
      </c>
      <c r="Q39">
        <v>103</v>
      </c>
    </row>
    <row r="40" spans="1:17" x14ac:dyDescent="0.25">
      <c r="A40">
        <v>39</v>
      </c>
      <c r="B40">
        <v>5676</v>
      </c>
      <c r="C40">
        <v>1</v>
      </c>
      <c r="D40">
        <v>3605</v>
      </c>
      <c r="E40">
        <v>4</v>
      </c>
      <c r="F40">
        <v>4721</v>
      </c>
      <c r="G40">
        <v>3</v>
      </c>
      <c r="H40">
        <v>5288</v>
      </c>
      <c r="I40">
        <v>2</v>
      </c>
      <c r="J40">
        <v>21</v>
      </c>
      <c r="K40">
        <v>14</v>
      </c>
      <c r="L40">
        <v>13</v>
      </c>
      <c r="M40">
        <v>14</v>
      </c>
      <c r="N40">
        <v>128</v>
      </c>
      <c r="O40">
        <v>130</v>
      </c>
      <c r="P40">
        <v>115</v>
      </c>
      <c r="Q40">
        <v>121</v>
      </c>
    </row>
    <row r="41" spans="1:17" x14ac:dyDescent="0.25">
      <c r="A41">
        <v>40</v>
      </c>
      <c r="B41">
        <v>6518</v>
      </c>
      <c r="C41">
        <v>1</v>
      </c>
      <c r="D41">
        <v>4542</v>
      </c>
      <c r="E41">
        <v>3</v>
      </c>
      <c r="F41">
        <v>6046</v>
      </c>
      <c r="G41">
        <v>2</v>
      </c>
      <c r="H41">
        <v>3874</v>
      </c>
      <c r="I41">
        <v>4</v>
      </c>
      <c r="J41">
        <v>3</v>
      </c>
      <c r="K41">
        <v>10</v>
      </c>
      <c r="L41">
        <v>3</v>
      </c>
      <c r="M41">
        <v>10</v>
      </c>
      <c r="N41">
        <v>170</v>
      </c>
      <c r="O41">
        <v>131</v>
      </c>
      <c r="P41">
        <v>160</v>
      </c>
      <c r="Q41">
        <v>130</v>
      </c>
    </row>
    <row r="42" spans="1:17" x14ac:dyDescent="0.25">
      <c r="A42">
        <v>41</v>
      </c>
      <c r="B42">
        <v>2685</v>
      </c>
      <c r="C42">
        <v>3</v>
      </c>
      <c r="D42">
        <v>3292</v>
      </c>
      <c r="E42">
        <v>2</v>
      </c>
      <c r="F42">
        <v>1246</v>
      </c>
      <c r="G42">
        <v>4</v>
      </c>
      <c r="H42">
        <v>12309</v>
      </c>
      <c r="I42">
        <v>1</v>
      </c>
      <c r="J42">
        <v>3</v>
      </c>
      <c r="K42">
        <v>2</v>
      </c>
      <c r="L42">
        <v>8</v>
      </c>
      <c r="M42">
        <v>8</v>
      </c>
      <c r="N42">
        <v>235</v>
      </c>
      <c r="O42">
        <v>236</v>
      </c>
      <c r="P42">
        <v>155</v>
      </c>
      <c r="Q42">
        <v>163</v>
      </c>
    </row>
    <row r="43" spans="1:17" x14ac:dyDescent="0.25">
      <c r="A43">
        <v>42</v>
      </c>
      <c r="B43">
        <v>4856</v>
      </c>
      <c r="C43">
        <v>2</v>
      </c>
      <c r="D43">
        <v>2377</v>
      </c>
      <c r="E43">
        <v>4</v>
      </c>
      <c r="F43">
        <v>6935</v>
      </c>
      <c r="G43">
        <v>1</v>
      </c>
      <c r="H43">
        <v>4113</v>
      </c>
      <c r="I43">
        <v>3</v>
      </c>
      <c r="J43">
        <v>14</v>
      </c>
      <c r="K43">
        <v>10</v>
      </c>
      <c r="L43">
        <v>17</v>
      </c>
      <c r="M43">
        <v>12</v>
      </c>
      <c r="N43">
        <v>115</v>
      </c>
      <c r="O43">
        <v>38</v>
      </c>
      <c r="P43">
        <v>122</v>
      </c>
      <c r="Q43">
        <v>71</v>
      </c>
    </row>
    <row r="44" spans="1:17" x14ac:dyDescent="0.25">
      <c r="A44">
        <v>43</v>
      </c>
      <c r="B44">
        <v>6955</v>
      </c>
      <c r="C44">
        <v>2</v>
      </c>
      <c r="D44">
        <v>735</v>
      </c>
      <c r="E44">
        <v>4</v>
      </c>
      <c r="F44">
        <v>11714</v>
      </c>
      <c r="G44">
        <v>1</v>
      </c>
      <c r="H44">
        <v>796</v>
      </c>
      <c r="I44">
        <v>3</v>
      </c>
      <c r="J44">
        <v>7</v>
      </c>
      <c r="K44">
        <v>1</v>
      </c>
      <c r="L44">
        <v>7</v>
      </c>
      <c r="M44">
        <v>1</v>
      </c>
      <c r="N44">
        <v>146</v>
      </c>
      <c r="O44">
        <v>17</v>
      </c>
      <c r="P44">
        <v>142</v>
      </c>
      <c r="Q44">
        <v>22</v>
      </c>
    </row>
    <row r="45" spans="1:17" x14ac:dyDescent="0.25">
      <c r="A45">
        <v>44</v>
      </c>
      <c r="B45">
        <v>4537</v>
      </c>
      <c r="C45">
        <v>2</v>
      </c>
      <c r="D45">
        <v>3061</v>
      </c>
      <c r="E45">
        <v>4</v>
      </c>
      <c r="F45">
        <v>8561</v>
      </c>
      <c r="G45">
        <v>1</v>
      </c>
      <c r="H45">
        <v>3270</v>
      </c>
      <c r="I45">
        <v>3</v>
      </c>
      <c r="J45">
        <v>3</v>
      </c>
      <c r="K45">
        <v>8</v>
      </c>
      <c r="L45">
        <v>2</v>
      </c>
      <c r="M45">
        <v>5</v>
      </c>
      <c r="N45">
        <v>159</v>
      </c>
      <c r="O45">
        <v>97</v>
      </c>
      <c r="P45">
        <v>158</v>
      </c>
      <c r="Q45">
        <v>103</v>
      </c>
    </row>
    <row r="46" spans="1:17" x14ac:dyDescent="0.25">
      <c r="A46">
        <v>45</v>
      </c>
      <c r="B46">
        <v>4910</v>
      </c>
      <c r="C46">
        <v>2</v>
      </c>
      <c r="D46">
        <v>4695</v>
      </c>
      <c r="E46">
        <v>3</v>
      </c>
      <c r="F46">
        <v>7603</v>
      </c>
      <c r="G46">
        <v>1</v>
      </c>
      <c r="H46">
        <v>3194</v>
      </c>
      <c r="I46">
        <v>4</v>
      </c>
      <c r="J46">
        <v>6</v>
      </c>
      <c r="K46">
        <v>4</v>
      </c>
      <c r="L46">
        <v>5</v>
      </c>
      <c r="M46">
        <v>4</v>
      </c>
      <c r="N46">
        <v>170</v>
      </c>
      <c r="O46">
        <v>118</v>
      </c>
      <c r="P46">
        <v>155</v>
      </c>
      <c r="Q46">
        <v>120</v>
      </c>
    </row>
    <row r="47" spans="1:17" x14ac:dyDescent="0.25">
      <c r="A47">
        <v>46</v>
      </c>
      <c r="B47">
        <v>4765</v>
      </c>
      <c r="C47">
        <v>3</v>
      </c>
      <c r="D47">
        <v>6867</v>
      </c>
      <c r="E47">
        <v>1</v>
      </c>
      <c r="F47">
        <v>4500</v>
      </c>
      <c r="G47">
        <v>4</v>
      </c>
      <c r="H47">
        <v>6550</v>
      </c>
      <c r="I47">
        <v>2</v>
      </c>
      <c r="J47">
        <v>2</v>
      </c>
      <c r="K47">
        <v>2</v>
      </c>
      <c r="L47">
        <v>7</v>
      </c>
      <c r="M47">
        <v>1</v>
      </c>
      <c r="N47">
        <v>144</v>
      </c>
      <c r="O47">
        <v>152</v>
      </c>
      <c r="P47">
        <v>131</v>
      </c>
      <c r="Q47">
        <v>150</v>
      </c>
    </row>
    <row r="48" spans="1:17" x14ac:dyDescent="0.25">
      <c r="A48">
        <v>47</v>
      </c>
      <c r="B48">
        <v>5777</v>
      </c>
      <c r="C48">
        <v>1</v>
      </c>
      <c r="D48">
        <v>5002</v>
      </c>
      <c r="E48">
        <v>3</v>
      </c>
      <c r="F48">
        <v>3885</v>
      </c>
      <c r="G48">
        <v>4</v>
      </c>
      <c r="H48">
        <v>5718</v>
      </c>
      <c r="I48">
        <v>2</v>
      </c>
      <c r="J48">
        <v>16</v>
      </c>
      <c r="K48">
        <v>13</v>
      </c>
      <c r="L48">
        <v>11</v>
      </c>
      <c r="M48">
        <v>11</v>
      </c>
      <c r="N48">
        <v>121</v>
      </c>
      <c r="O48">
        <v>112</v>
      </c>
      <c r="P48">
        <v>113</v>
      </c>
      <c r="Q48">
        <v>138</v>
      </c>
    </row>
    <row r="49" spans="1:17" x14ac:dyDescent="0.25">
      <c r="A49">
        <v>48</v>
      </c>
      <c r="B49">
        <v>5819</v>
      </c>
      <c r="C49">
        <v>2</v>
      </c>
      <c r="D49">
        <v>6415</v>
      </c>
      <c r="E49">
        <v>1</v>
      </c>
      <c r="F49">
        <v>2916</v>
      </c>
      <c r="G49">
        <v>4</v>
      </c>
      <c r="H49">
        <v>4632</v>
      </c>
      <c r="I49">
        <v>3</v>
      </c>
      <c r="J49">
        <v>8</v>
      </c>
      <c r="K49">
        <v>12</v>
      </c>
      <c r="L49">
        <v>4</v>
      </c>
      <c r="M49">
        <v>11</v>
      </c>
      <c r="N49">
        <v>150</v>
      </c>
      <c r="O49">
        <v>129</v>
      </c>
      <c r="P49">
        <v>118</v>
      </c>
      <c r="Q49">
        <v>155</v>
      </c>
    </row>
    <row r="50" spans="1:17" x14ac:dyDescent="0.25">
      <c r="A50">
        <v>49</v>
      </c>
      <c r="B50">
        <v>5540</v>
      </c>
      <c r="C50">
        <v>3</v>
      </c>
      <c r="D50">
        <v>6221</v>
      </c>
      <c r="E50">
        <v>2</v>
      </c>
      <c r="F50">
        <v>3626</v>
      </c>
      <c r="G50">
        <v>4</v>
      </c>
      <c r="H50">
        <v>6568</v>
      </c>
      <c r="I50">
        <v>1</v>
      </c>
      <c r="J50">
        <v>9</v>
      </c>
      <c r="K50">
        <v>7</v>
      </c>
      <c r="L50">
        <v>9</v>
      </c>
      <c r="M50">
        <v>4</v>
      </c>
      <c r="N50">
        <v>114</v>
      </c>
      <c r="O50">
        <v>126</v>
      </c>
      <c r="P50">
        <v>97</v>
      </c>
      <c r="Q50">
        <v>95</v>
      </c>
    </row>
    <row r="51" spans="1:17" x14ac:dyDescent="0.25">
      <c r="A51">
        <v>50</v>
      </c>
      <c r="B51">
        <v>3131</v>
      </c>
      <c r="C51">
        <v>3</v>
      </c>
      <c r="D51">
        <v>3458</v>
      </c>
      <c r="E51">
        <v>2</v>
      </c>
      <c r="F51">
        <v>9913</v>
      </c>
      <c r="G51">
        <v>1</v>
      </c>
      <c r="H51">
        <v>3108</v>
      </c>
      <c r="I51">
        <v>4</v>
      </c>
      <c r="J51">
        <v>5</v>
      </c>
      <c r="K51">
        <v>9</v>
      </c>
      <c r="L51">
        <v>10</v>
      </c>
      <c r="M51">
        <v>6</v>
      </c>
      <c r="N51">
        <v>76</v>
      </c>
      <c r="O51">
        <v>69</v>
      </c>
      <c r="P51">
        <v>96</v>
      </c>
      <c r="Q51">
        <v>72</v>
      </c>
    </row>
    <row r="52" spans="1:17" x14ac:dyDescent="0.25">
      <c r="A52">
        <v>51</v>
      </c>
      <c r="B52">
        <v>1310</v>
      </c>
      <c r="C52">
        <v>4</v>
      </c>
      <c r="D52">
        <v>7045</v>
      </c>
      <c r="E52">
        <v>1</v>
      </c>
      <c r="F52">
        <v>5501</v>
      </c>
      <c r="G52">
        <v>3</v>
      </c>
      <c r="H52">
        <v>6812</v>
      </c>
      <c r="I52">
        <v>2</v>
      </c>
      <c r="J52">
        <v>0</v>
      </c>
      <c r="K52">
        <v>5</v>
      </c>
      <c r="L52">
        <v>3</v>
      </c>
      <c r="M52">
        <v>5</v>
      </c>
      <c r="N52">
        <v>25</v>
      </c>
      <c r="O52">
        <v>154</v>
      </c>
      <c r="P52">
        <v>146</v>
      </c>
      <c r="Q52">
        <v>144</v>
      </c>
    </row>
    <row r="53" spans="1:17" x14ac:dyDescent="0.25">
      <c r="A53">
        <v>52</v>
      </c>
      <c r="B53">
        <v>4326</v>
      </c>
      <c r="C53">
        <v>3</v>
      </c>
      <c r="D53">
        <v>4803</v>
      </c>
      <c r="E53">
        <v>2</v>
      </c>
      <c r="F53">
        <v>4095</v>
      </c>
      <c r="G53">
        <v>4</v>
      </c>
      <c r="H53">
        <v>5899</v>
      </c>
      <c r="I53">
        <v>1</v>
      </c>
      <c r="J53">
        <v>15</v>
      </c>
      <c r="K53">
        <v>10</v>
      </c>
      <c r="L53">
        <v>9</v>
      </c>
      <c r="M53">
        <v>13</v>
      </c>
      <c r="N53">
        <v>154</v>
      </c>
      <c r="O53">
        <v>131</v>
      </c>
      <c r="P53">
        <v>129</v>
      </c>
      <c r="Q53">
        <v>168</v>
      </c>
    </row>
    <row r="54" spans="1:17" x14ac:dyDescent="0.25">
      <c r="A54">
        <v>53</v>
      </c>
      <c r="B54">
        <v>5432</v>
      </c>
      <c r="C54">
        <v>1</v>
      </c>
      <c r="D54">
        <v>5240</v>
      </c>
      <c r="E54">
        <v>2</v>
      </c>
      <c r="F54">
        <v>5058</v>
      </c>
      <c r="G54">
        <v>3</v>
      </c>
      <c r="H54">
        <v>4785</v>
      </c>
      <c r="I54">
        <v>4</v>
      </c>
      <c r="J54">
        <v>9</v>
      </c>
      <c r="K54">
        <v>12</v>
      </c>
      <c r="L54">
        <v>6</v>
      </c>
      <c r="M54">
        <v>7</v>
      </c>
      <c r="N54">
        <v>145</v>
      </c>
      <c r="O54">
        <v>129</v>
      </c>
      <c r="P54">
        <v>126</v>
      </c>
      <c r="Q54">
        <v>134</v>
      </c>
    </row>
    <row r="55" spans="1:17" x14ac:dyDescent="0.25">
      <c r="A55">
        <v>54</v>
      </c>
      <c r="B55">
        <v>273</v>
      </c>
      <c r="C55">
        <v>4</v>
      </c>
      <c r="D55">
        <v>1506</v>
      </c>
      <c r="E55">
        <v>2</v>
      </c>
      <c r="F55">
        <v>391</v>
      </c>
      <c r="G55">
        <v>3</v>
      </c>
      <c r="H55">
        <v>4315</v>
      </c>
      <c r="I55">
        <v>1</v>
      </c>
      <c r="J55">
        <v>2</v>
      </c>
      <c r="K55">
        <v>1</v>
      </c>
      <c r="L55">
        <v>3</v>
      </c>
      <c r="M55">
        <v>2</v>
      </c>
      <c r="N55">
        <v>20</v>
      </c>
      <c r="O55">
        <v>22</v>
      </c>
      <c r="P55">
        <v>23</v>
      </c>
      <c r="Q55">
        <v>29</v>
      </c>
    </row>
    <row r="56" spans="1:17" x14ac:dyDescent="0.25">
      <c r="A56">
        <v>55</v>
      </c>
      <c r="B56">
        <v>5941</v>
      </c>
      <c r="C56">
        <v>2</v>
      </c>
      <c r="D56">
        <v>4140</v>
      </c>
      <c r="E56">
        <v>4</v>
      </c>
      <c r="F56">
        <v>5670</v>
      </c>
      <c r="G56">
        <v>3</v>
      </c>
      <c r="H56">
        <v>6004</v>
      </c>
      <c r="I56">
        <v>1</v>
      </c>
      <c r="J56">
        <v>13</v>
      </c>
      <c r="K56">
        <v>9</v>
      </c>
      <c r="L56">
        <v>8</v>
      </c>
      <c r="M56">
        <v>10</v>
      </c>
      <c r="N56">
        <v>121</v>
      </c>
      <c r="O56">
        <v>72</v>
      </c>
      <c r="P56">
        <v>115</v>
      </c>
      <c r="Q56">
        <v>133</v>
      </c>
    </row>
    <row r="57" spans="1:17" x14ac:dyDescent="0.25">
      <c r="A57">
        <v>56</v>
      </c>
      <c r="B57">
        <v>6730</v>
      </c>
      <c r="C57">
        <v>1</v>
      </c>
      <c r="D57">
        <v>5620</v>
      </c>
      <c r="E57">
        <v>3</v>
      </c>
      <c r="F57">
        <v>3984</v>
      </c>
      <c r="G57">
        <v>4</v>
      </c>
      <c r="H57">
        <v>5829</v>
      </c>
      <c r="I57">
        <v>2</v>
      </c>
      <c r="J57">
        <v>1</v>
      </c>
      <c r="K57">
        <v>8</v>
      </c>
      <c r="L57">
        <v>12</v>
      </c>
      <c r="M57">
        <v>7</v>
      </c>
      <c r="N57">
        <v>155</v>
      </c>
      <c r="O57">
        <v>157</v>
      </c>
      <c r="P57">
        <v>141</v>
      </c>
      <c r="Q57">
        <v>163</v>
      </c>
    </row>
    <row r="58" spans="1:17" x14ac:dyDescent="0.25">
      <c r="A58">
        <v>57</v>
      </c>
      <c r="B58">
        <v>3571</v>
      </c>
      <c r="C58">
        <v>3</v>
      </c>
      <c r="D58">
        <v>5467</v>
      </c>
      <c r="E58">
        <v>1</v>
      </c>
      <c r="F58">
        <v>2540</v>
      </c>
      <c r="G58">
        <v>4</v>
      </c>
      <c r="H58">
        <v>3745</v>
      </c>
      <c r="I58">
        <v>2</v>
      </c>
      <c r="J58">
        <v>9</v>
      </c>
      <c r="K58">
        <v>12</v>
      </c>
      <c r="L58">
        <v>9</v>
      </c>
      <c r="M58">
        <v>10</v>
      </c>
      <c r="N58">
        <v>113</v>
      </c>
      <c r="O58">
        <v>143</v>
      </c>
      <c r="P58">
        <v>112</v>
      </c>
      <c r="Q58">
        <v>99</v>
      </c>
    </row>
    <row r="59" spans="1:17" x14ac:dyDescent="0.25">
      <c r="A59">
        <v>58</v>
      </c>
      <c r="B59">
        <v>9708</v>
      </c>
      <c r="C59">
        <v>1</v>
      </c>
      <c r="D59">
        <v>548</v>
      </c>
      <c r="E59">
        <v>4</v>
      </c>
      <c r="F59">
        <v>1705</v>
      </c>
      <c r="G59">
        <v>3</v>
      </c>
      <c r="H59">
        <v>6797</v>
      </c>
      <c r="I59">
        <v>2</v>
      </c>
      <c r="J59">
        <v>13</v>
      </c>
      <c r="K59">
        <v>2</v>
      </c>
      <c r="L59">
        <v>2</v>
      </c>
      <c r="M59">
        <v>10</v>
      </c>
      <c r="N59">
        <v>120</v>
      </c>
      <c r="O59">
        <v>13</v>
      </c>
      <c r="P59">
        <v>22</v>
      </c>
      <c r="Q59">
        <v>129</v>
      </c>
    </row>
    <row r="60" spans="1:17" x14ac:dyDescent="0.25">
      <c r="A60">
        <v>59</v>
      </c>
      <c r="B60">
        <v>5788</v>
      </c>
      <c r="C60">
        <v>1</v>
      </c>
      <c r="D60">
        <v>5590</v>
      </c>
      <c r="E60">
        <v>2</v>
      </c>
      <c r="F60">
        <v>3529</v>
      </c>
      <c r="G60">
        <v>4</v>
      </c>
      <c r="H60">
        <v>5225</v>
      </c>
      <c r="I60">
        <v>3</v>
      </c>
      <c r="J60">
        <v>13</v>
      </c>
      <c r="K60">
        <v>7</v>
      </c>
      <c r="L60">
        <v>6</v>
      </c>
      <c r="M60">
        <v>12</v>
      </c>
      <c r="N60">
        <v>147</v>
      </c>
      <c r="O60">
        <v>133</v>
      </c>
      <c r="P60">
        <v>161</v>
      </c>
      <c r="Q60">
        <v>131</v>
      </c>
    </row>
    <row r="61" spans="1:17" x14ac:dyDescent="0.25">
      <c r="A61">
        <v>60</v>
      </c>
      <c r="B61">
        <v>6762</v>
      </c>
      <c r="C61">
        <v>1</v>
      </c>
      <c r="D61">
        <v>4757</v>
      </c>
      <c r="E61">
        <v>3</v>
      </c>
      <c r="F61">
        <v>3012</v>
      </c>
      <c r="G61">
        <v>4</v>
      </c>
      <c r="H61">
        <v>6454</v>
      </c>
      <c r="I61">
        <v>2</v>
      </c>
      <c r="J61">
        <v>7</v>
      </c>
      <c r="K61">
        <v>4</v>
      </c>
      <c r="L61">
        <v>3</v>
      </c>
      <c r="M61">
        <v>5</v>
      </c>
      <c r="N61">
        <v>141</v>
      </c>
      <c r="O61">
        <v>139</v>
      </c>
      <c r="P61">
        <v>133</v>
      </c>
      <c r="Q61">
        <v>151</v>
      </c>
    </row>
    <row r="62" spans="1:17" x14ac:dyDescent="0.25">
      <c r="A62">
        <v>61</v>
      </c>
      <c r="B62">
        <v>9744</v>
      </c>
      <c r="C62">
        <v>1</v>
      </c>
      <c r="D62">
        <v>5176</v>
      </c>
      <c r="E62">
        <v>2</v>
      </c>
      <c r="F62">
        <v>739</v>
      </c>
      <c r="G62">
        <v>4</v>
      </c>
      <c r="H62">
        <v>2796</v>
      </c>
      <c r="I62">
        <v>3</v>
      </c>
      <c r="J62">
        <v>5</v>
      </c>
      <c r="K62">
        <v>4</v>
      </c>
      <c r="L62">
        <v>7</v>
      </c>
      <c r="M62">
        <v>24</v>
      </c>
      <c r="N62">
        <v>106</v>
      </c>
      <c r="O62">
        <v>79</v>
      </c>
      <c r="P62">
        <v>30</v>
      </c>
      <c r="Q62">
        <v>55</v>
      </c>
    </row>
    <row r="63" spans="1:17" x14ac:dyDescent="0.25">
      <c r="A63">
        <v>62</v>
      </c>
      <c r="B63">
        <v>5911</v>
      </c>
      <c r="C63">
        <v>2</v>
      </c>
      <c r="D63">
        <v>5407</v>
      </c>
      <c r="E63">
        <v>3</v>
      </c>
      <c r="F63">
        <v>3075</v>
      </c>
      <c r="G63">
        <v>4</v>
      </c>
      <c r="H63">
        <v>6256</v>
      </c>
      <c r="I63">
        <v>1</v>
      </c>
      <c r="J63">
        <v>11</v>
      </c>
      <c r="K63">
        <v>15</v>
      </c>
      <c r="L63">
        <v>13</v>
      </c>
      <c r="M63">
        <v>14</v>
      </c>
      <c r="N63">
        <v>134</v>
      </c>
      <c r="O63">
        <v>115</v>
      </c>
      <c r="P63">
        <v>108</v>
      </c>
      <c r="Q63">
        <v>121</v>
      </c>
    </row>
    <row r="64" spans="1:17" x14ac:dyDescent="0.25">
      <c r="A64">
        <v>63</v>
      </c>
      <c r="B64">
        <v>389</v>
      </c>
      <c r="C64">
        <v>4</v>
      </c>
      <c r="D64">
        <v>1593</v>
      </c>
      <c r="E64">
        <v>3</v>
      </c>
      <c r="F64">
        <v>12357</v>
      </c>
      <c r="G64">
        <v>1</v>
      </c>
      <c r="H64">
        <v>6998</v>
      </c>
      <c r="I64">
        <v>2</v>
      </c>
      <c r="J64">
        <v>0</v>
      </c>
      <c r="K64">
        <v>3</v>
      </c>
      <c r="L64">
        <v>3</v>
      </c>
      <c r="M64">
        <v>5</v>
      </c>
      <c r="N64">
        <v>20</v>
      </c>
      <c r="O64">
        <v>32</v>
      </c>
      <c r="P64">
        <v>130</v>
      </c>
      <c r="Q64">
        <v>122</v>
      </c>
    </row>
    <row r="65" spans="1:17" x14ac:dyDescent="0.25">
      <c r="A65">
        <v>64</v>
      </c>
      <c r="B65">
        <v>3710</v>
      </c>
      <c r="C65">
        <v>4</v>
      </c>
      <c r="D65">
        <v>5683</v>
      </c>
      <c r="E65">
        <v>3</v>
      </c>
      <c r="F65">
        <v>5703</v>
      </c>
      <c r="G65">
        <v>2</v>
      </c>
      <c r="H65">
        <v>5960</v>
      </c>
      <c r="I65">
        <v>1</v>
      </c>
      <c r="J65">
        <v>7</v>
      </c>
      <c r="K65">
        <v>11</v>
      </c>
      <c r="L65">
        <v>6</v>
      </c>
      <c r="M65">
        <v>6</v>
      </c>
      <c r="N65">
        <v>159</v>
      </c>
      <c r="O65">
        <v>175</v>
      </c>
      <c r="P65">
        <v>165</v>
      </c>
      <c r="Q65">
        <v>171</v>
      </c>
    </row>
    <row r="66" spans="1:17" x14ac:dyDescent="0.25">
      <c r="A66">
        <v>65</v>
      </c>
      <c r="B66">
        <v>6248</v>
      </c>
      <c r="C66">
        <v>2</v>
      </c>
      <c r="D66">
        <v>3923</v>
      </c>
      <c r="E66">
        <v>3</v>
      </c>
      <c r="F66">
        <v>1586</v>
      </c>
      <c r="G66">
        <v>4</v>
      </c>
      <c r="H66">
        <v>7409</v>
      </c>
      <c r="I66">
        <v>1</v>
      </c>
      <c r="J66">
        <v>9</v>
      </c>
      <c r="K66">
        <v>13</v>
      </c>
      <c r="L66">
        <v>13</v>
      </c>
      <c r="M66">
        <v>13</v>
      </c>
      <c r="N66">
        <v>129</v>
      </c>
      <c r="O66">
        <v>127</v>
      </c>
      <c r="P66">
        <v>70</v>
      </c>
      <c r="Q66">
        <v>97</v>
      </c>
    </row>
    <row r="67" spans="1:17" x14ac:dyDescent="0.25">
      <c r="A67">
        <v>66</v>
      </c>
      <c r="B67">
        <v>5392</v>
      </c>
      <c r="C67">
        <v>2</v>
      </c>
      <c r="D67">
        <v>6205</v>
      </c>
      <c r="E67">
        <v>1</v>
      </c>
      <c r="F67">
        <v>3497</v>
      </c>
      <c r="G67">
        <v>4</v>
      </c>
      <c r="H67">
        <v>4962</v>
      </c>
      <c r="I67">
        <v>3</v>
      </c>
      <c r="J67">
        <v>6</v>
      </c>
      <c r="K67">
        <v>8</v>
      </c>
      <c r="L67">
        <v>11</v>
      </c>
      <c r="M67">
        <v>11</v>
      </c>
      <c r="N67">
        <v>158</v>
      </c>
      <c r="O67">
        <v>138</v>
      </c>
      <c r="P67">
        <v>160</v>
      </c>
      <c r="Q67">
        <v>148</v>
      </c>
    </row>
    <row r="68" spans="1:17" x14ac:dyDescent="0.25">
      <c r="A68">
        <v>67</v>
      </c>
      <c r="B68">
        <v>6064</v>
      </c>
      <c r="C68">
        <v>1</v>
      </c>
      <c r="D68">
        <v>5667</v>
      </c>
      <c r="E68">
        <v>2</v>
      </c>
      <c r="F68">
        <v>5277</v>
      </c>
      <c r="G68">
        <v>4</v>
      </c>
      <c r="H68">
        <v>5282</v>
      </c>
      <c r="I68">
        <v>3</v>
      </c>
      <c r="J68">
        <v>7</v>
      </c>
      <c r="K68">
        <v>8</v>
      </c>
      <c r="L68">
        <v>10</v>
      </c>
      <c r="M68">
        <v>5</v>
      </c>
      <c r="N68">
        <v>133</v>
      </c>
      <c r="O68">
        <v>130</v>
      </c>
      <c r="P68">
        <v>125</v>
      </c>
      <c r="Q68">
        <v>117</v>
      </c>
    </row>
    <row r="69" spans="1:17" x14ac:dyDescent="0.25">
      <c r="A69">
        <v>68</v>
      </c>
      <c r="B69">
        <v>1962</v>
      </c>
      <c r="C69">
        <v>3</v>
      </c>
      <c r="D69">
        <v>4179</v>
      </c>
      <c r="E69">
        <v>2</v>
      </c>
      <c r="F69">
        <v>158</v>
      </c>
      <c r="G69">
        <v>4</v>
      </c>
      <c r="H69">
        <v>4740</v>
      </c>
      <c r="I69">
        <v>1</v>
      </c>
      <c r="J69">
        <v>0</v>
      </c>
      <c r="K69">
        <v>0</v>
      </c>
      <c r="L69">
        <v>0</v>
      </c>
      <c r="M69">
        <v>0</v>
      </c>
      <c r="N69">
        <v>8</v>
      </c>
      <c r="O69">
        <v>8</v>
      </c>
      <c r="P69">
        <v>9</v>
      </c>
      <c r="Q69">
        <v>8</v>
      </c>
    </row>
    <row r="70" spans="1:17" x14ac:dyDescent="0.25">
      <c r="A70">
        <v>69</v>
      </c>
      <c r="B70">
        <v>12820</v>
      </c>
      <c r="C70">
        <v>1</v>
      </c>
      <c r="D70">
        <v>528</v>
      </c>
      <c r="E70">
        <v>4</v>
      </c>
      <c r="F70">
        <v>1884</v>
      </c>
      <c r="G70">
        <v>3</v>
      </c>
      <c r="H70">
        <v>4959</v>
      </c>
      <c r="I70">
        <v>2</v>
      </c>
      <c r="J70">
        <v>0</v>
      </c>
      <c r="K70">
        <v>0</v>
      </c>
      <c r="L70">
        <v>0</v>
      </c>
      <c r="M70">
        <v>0</v>
      </c>
      <c r="N70">
        <v>124</v>
      </c>
      <c r="O70">
        <v>18</v>
      </c>
      <c r="P70">
        <v>16</v>
      </c>
      <c r="Q70">
        <v>114</v>
      </c>
    </row>
    <row r="71" spans="1:17" x14ac:dyDescent="0.25">
      <c r="A71">
        <v>70</v>
      </c>
      <c r="B71">
        <v>5572</v>
      </c>
      <c r="C71">
        <v>3</v>
      </c>
      <c r="D71">
        <v>3695</v>
      </c>
      <c r="E71">
        <v>4</v>
      </c>
      <c r="F71">
        <v>6770</v>
      </c>
      <c r="G71">
        <v>1</v>
      </c>
      <c r="H71">
        <v>5948</v>
      </c>
      <c r="I71">
        <v>2</v>
      </c>
      <c r="J71">
        <v>12</v>
      </c>
      <c r="K71">
        <v>5</v>
      </c>
      <c r="L71">
        <v>4</v>
      </c>
      <c r="M71">
        <v>17</v>
      </c>
      <c r="N71">
        <v>116</v>
      </c>
      <c r="O71">
        <v>89</v>
      </c>
      <c r="P71">
        <v>125</v>
      </c>
      <c r="Q71">
        <v>124</v>
      </c>
    </row>
    <row r="72" spans="1:17" x14ac:dyDescent="0.25">
      <c r="A72">
        <v>71</v>
      </c>
      <c r="B72">
        <v>16995</v>
      </c>
      <c r="C72">
        <v>1</v>
      </c>
      <c r="D72">
        <v>2362</v>
      </c>
      <c r="E72">
        <v>2</v>
      </c>
      <c r="F72">
        <v>1146</v>
      </c>
      <c r="G72">
        <v>3</v>
      </c>
      <c r="H72">
        <v>707</v>
      </c>
      <c r="I72">
        <v>4</v>
      </c>
      <c r="J72">
        <v>0</v>
      </c>
      <c r="K72">
        <v>0</v>
      </c>
      <c r="L72">
        <v>1</v>
      </c>
      <c r="M72">
        <v>1</v>
      </c>
      <c r="N72">
        <v>110</v>
      </c>
      <c r="O72">
        <v>14</v>
      </c>
      <c r="P72">
        <v>88</v>
      </c>
      <c r="Q72">
        <v>19</v>
      </c>
    </row>
    <row r="73" spans="1:17" x14ac:dyDescent="0.25">
      <c r="A73">
        <v>72</v>
      </c>
      <c r="B73">
        <v>5229</v>
      </c>
      <c r="C73">
        <v>1</v>
      </c>
      <c r="D73">
        <v>4950</v>
      </c>
      <c r="E73">
        <v>3</v>
      </c>
      <c r="F73">
        <v>4474</v>
      </c>
      <c r="G73">
        <v>4</v>
      </c>
      <c r="H73">
        <v>5007</v>
      </c>
      <c r="I73">
        <v>2</v>
      </c>
      <c r="J73">
        <v>5</v>
      </c>
      <c r="K73">
        <v>3</v>
      </c>
      <c r="L73">
        <v>5</v>
      </c>
      <c r="M73">
        <v>3</v>
      </c>
      <c r="N73">
        <v>139</v>
      </c>
      <c r="O73">
        <v>147</v>
      </c>
      <c r="P73">
        <v>157</v>
      </c>
      <c r="Q73">
        <v>155</v>
      </c>
    </row>
    <row r="74" spans="1:17" x14ac:dyDescent="0.25">
      <c r="A74">
        <v>73</v>
      </c>
      <c r="B74">
        <v>4057</v>
      </c>
      <c r="C74">
        <v>3</v>
      </c>
      <c r="D74">
        <v>6457</v>
      </c>
      <c r="E74">
        <v>1</v>
      </c>
      <c r="F74">
        <v>3377</v>
      </c>
      <c r="G74">
        <v>4</v>
      </c>
      <c r="H74">
        <v>6403</v>
      </c>
      <c r="I74">
        <v>2</v>
      </c>
      <c r="J74">
        <v>7</v>
      </c>
      <c r="K74">
        <v>5</v>
      </c>
      <c r="L74">
        <v>10</v>
      </c>
      <c r="M74">
        <v>7</v>
      </c>
      <c r="N74">
        <v>168</v>
      </c>
      <c r="O74">
        <v>165</v>
      </c>
      <c r="P74">
        <v>140</v>
      </c>
      <c r="Q74">
        <v>159</v>
      </c>
    </row>
    <row r="75" spans="1:17" x14ac:dyDescent="0.25">
      <c r="A75">
        <v>74</v>
      </c>
      <c r="B75">
        <v>12082</v>
      </c>
      <c r="C75">
        <v>1</v>
      </c>
      <c r="D75">
        <v>1985</v>
      </c>
      <c r="E75">
        <v>4</v>
      </c>
      <c r="F75">
        <v>3001</v>
      </c>
      <c r="G75">
        <v>2</v>
      </c>
      <c r="H75">
        <v>2344</v>
      </c>
      <c r="I75">
        <v>3</v>
      </c>
      <c r="J75">
        <v>3</v>
      </c>
      <c r="K75">
        <v>4</v>
      </c>
      <c r="L75">
        <v>3</v>
      </c>
      <c r="M75">
        <v>4</v>
      </c>
      <c r="N75">
        <v>127</v>
      </c>
      <c r="O75">
        <v>77</v>
      </c>
      <c r="P75">
        <v>104</v>
      </c>
      <c r="Q75">
        <v>62</v>
      </c>
    </row>
    <row r="76" spans="1:17" x14ac:dyDescent="0.25">
      <c r="A76">
        <v>75</v>
      </c>
      <c r="B76">
        <v>2809</v>
      </c>
      <c r="C76">
        <v>4</v>
      </c>
      <c r="D76">
        <v>3634</v>
      </c>
      <c r="E76">
        <v>3</v>
      </c>
      <c r="F76">
        <v>3916</v>
      </c>
      <c r="G76">
        <v>2</v>
      </c>
      <c r="H76">
        <v>4948</v>
      </c>
      <c r="I76">
        <v>1</v>
      </c>
      <c r="J76">
        <v>9</v>
      </c>
      <c r="K76">
        <v>7</v>
      </c>
      <c r="L76">
        <v>6</v>
      </c>
      <c r="M76">
        <v>5</v>
      </c>
      <c r="N76">
        <v>101</v>
      </c>
      <c r="O76">
        <v>220</v>
      </c>
      <c r="P76">
        <v>208</v>
      </c>
      <c r="Q76">
        <v>116</v>
      </c>
    </row>
    <row r="77" spans="1:17" x14ac:dyDescent="0.25">
      <c r="A77">
        <v>76</v>
      </c>
      <c r="B77">
        <v>5281</v>
      </c>
      <c r="C77">
        <v>2</v>
      </c>
      <c r="D77">
        <v>2692</v>
      </c>
      <c r="E77">
        <v>4</v>
      </c>
      <c r="F77">
        <v>3174</v>
      </c>
      <c r="G77">
        <v>3</v>
      </c>
      <c r="H77">
        <v>8527</v>
      </c>
      <c r="I77">
        <v>1</v>
      </c>
      <c r="J77">
        <v>4</v>
      </c>
      <c r="K77">
        <v>4</v>
      </c>
      <c r="L77">
        <v>3</v>
      </c>
      <c r="M77">
        <v>8</v>
      </c>
      <c r="N77">
        <v>142</v>
      </c>
      <c r="O77">
        <v>97</v>
      </c>
      <c r="P77">
        <v>105</v>
      </c>
      <c r="Q77">
        <v>135</v>
      </c>
    </row>
    <row r="78" spans="1:17" x14ac:dyDescent="0.25">
      <c r="A78">
        <v>77</v>
      </c>
      <c r="B78">
        <v>5198</v>
      </c>
      <c r="C78">
        <v>3</v>
      </c>
      <c r="D78">
        <v>5469</v>
      </c>
      <c r="E78">
        <v>2</v>
      </c>
      <c r="F78">
        <v>3260</v>
      </c>
      <c r="G78">
        <v>4</v>
      </c>
      <c r="H78">
        <v>5708</v>
      </c>
      <c r="I78">
        <v>1</v>
      </c>
      <c r="J78">
        <v>9</v>
      </c>
      <c r="K78">
        <v>4</v>
      </c>
      <c r="L78">
        <v>5</v>
      </c>
      <c r="M78">
        <v>11</v>
      </c>
      <c r="N78">
        <v>122</v>
      </c>
      <c r="O78">
        <v>105</v>
      </c>
      <c r="P78">
        <v>92</v>
      </c>
      <c r="Q78">
        <v>121</v>
      </c>
    </row>
    <row r="79" spans="1:17" x14ac:dyDescent="0.25">
      <c r="A79">
        <v>78</v>
      </c>
      <c r="B79">
        <v>5566</v>
      </c>
      <c r="C79">
        <v>1</v>
      </c>
      <c r="D79">
        <v>3241</v>
      </c>
      <c r="E79">
        <v>4</v>
      </c>
      <c r="F79">
        <v>4518</v>
      </c>
      <c r="G79">
        <v>3</v>
      </c>
      <c r="H79">
        <v>4772</v>
      </c>
      <c r="I79">
        <v>2</v>
      </c>
      <c r="J79">
        <v>10</v>
      </c>
      <c r="K79">
        <v>14</v>
      </c>
      <c r="L79">
        <v>11</v>
      </c>
      <c r="M79">
        <v>7</v>
      </c>
      <c r="N79">
        <v>151</v>
      </c>
      <c r="O79">
        <v>135</v>
      </c>
      <c r="P79">
        <v>155</v>
      </c>
      <c r="Q79">
        <v>156</v>
      </c>
    </row>
    <row r="80" spans="1:17" x14ac:dyDescent="0.25">
      <c r="A80">
        <v>79</v>
      </c>
      <c r="B80">
        <v>5267</v>
      </c>
      <c r="C80">
        <v>3</v>
      </c>
      <c r="D80">
        <v>5325</v>
      </c>
      <c r="E80">
        <v>2</v>
      </c>
      <c r="F80">
        <v>4251</v>
      </c>
      <c r="G80">
        <v>4</v>
      </c>
      <c r="H80">
        <v>5601</v>
      </c>
      <c r="I80">
        <v>1</v>
      </c>
      <c r="J80">
        <v>3</v>
      </c>
      <c r="K80">
        <v>8</v>
      </c>
      <c r="L80">
        <v>6</v>
      </c>
      <c r="M80">
        <v>5</v>
      </c>
      <c r="N80">
        <v>160</v>
      </c>
      <c r="O80">
        <v>143</v>
      </c>
      <c r="P80">
        <v>134</v>
      </c>
      <c r="Q80">
        <v>148</v>
      </c>
    </row>
    <row r="81" spans="1:17" x14ac:dyDescent="0.25">
      <c r="A81">
        <v>80</v>
      </c>
      <c r="B81">
        <v>6521</v>
      </c>
      <c r="C81">
        <v>2</v>
      </c>
      <c r="D81">
        <v>7747</v>
      </c>
      <c r="E81">
        <v>1</v>
      </c>
      <c r="F81">
        <v>2117</v>
      </c>
      <c r="G81">
        <v>4</v>
      </c>
      <c r="H81">
        <v>3924</v>
      </c>
      <c r="I81">
        <v>3</v>
      </c>
      <c r="J81">
        <v>3</v>
      </c>
      <c r="K81">
        <v>3</v>
      </c>
      <c r="L81">
        <v>4</v>
      </c>
      <c r="M81">
        <v>4</v>
      </c>
      <c r="N81">
        <v>167</v>
      </c>
      <c r="O81">
        <v>165</v>
      </c>
      <c r="P81">
        <v>64</v>
      </c>
      <c r="Q81">
        <v>70</v>
      </c>
    </row>
    <row r="82" spans="1:17" x14ac:dyDescent="0.25">
      <c r="A82">
        <v>81</v>
      </c>
      <c r="B82">
        <v>7020</v>
      </c>
      <c r="C82">
        <v>1</v>
      </c>
      <c r="D82">
        <v>6290</v>
      </c>
      <c r="E82">
        <v>2</v>
      </c>
      <c r="F82">
        <v>4027</v>
      </c>
      <c r="G82">
        <v>3</v>
      </c>
      <c r="H82">
        <v>3678</v>
      </c>
      <c r="I82">
        <v>4</v>
      </c>
      <c r="J82">
        <v>4</v>
      </c>
      <c r="K82">
        <v>7</v>
      </c>
      <c r="L82">
        <v>7</v>
      </c>
      <c r="M82">
        <v>11</v>
      </c>
      <c r="N82">
        <v>134</v>
      </c>
      <c r="O82">
        <v>130</v>
      </c>
      <c r="P82">
        <v>93</v>
      </c>
      <c r="Q82">
        <v>121</v>
      </c>
    </row>
    <row r="83" spans="1:17" x14ac:dyDescent="0.25">
      <c r="A83">
        <v>82</v>
      </c>
      <c r="B83">
        <v>6090</v>
      </c>
      <c r="C83">
        <v>1</v>
      </c>
      <c r="D83">
        <v>4534</v>
      </c>
      <c r="E83">
        <v>4</v>
      </c>
      <c r="F83">
        <v>4998</v>
      </c>
      <c r="G83">
        <v>3</v>
      </c>
      <c r="H83">
        <v>5182</v>
      </c>
      <c r="I83">
        <v>2</v>
      </c>
      <c r="J83">
        <v>6</v>
      </c>
      <c r="K83">
        <v>5</v>
      </c>
      <c r="L83">
        <v>3</v>
      </c>
      <c r="M83">
        <v>6</v>
      </c>
      <c r="N83">
        <v>157</v>
      </c>
      <c r="O83">
        <v>124</v>
      </c>
      <c r="P83">
        <v>166</v>
      </c>
      <c r="Q83">
        <v>129</v>
      </c>
    </row>
    <row r="84" spans="1:17" x14ac:dyDescent="0.25">
      <c r="A84">
        <v>83</v>
      </c>
      <c r="B84">
        <v>5704</v>
      </c>
      <c r="C84">
        <v>1</v>
      </c>
      <c r="D84">
        <v>4059</v>
      </c>
      <c r="E84">
        <v>4</v>
      </c>
      <c r="F84">
        <v>4836</v>
      </c>
      <c r="G84">
        <v>3</v>
      </c>
      <c r="H84">
        <v>5575</v>
      </c>
      <c r="I84">
        <v>2</v>
      </c>
      <c r="J84">
        <v>7</v>
      </c>
      <c r="K84">
        <v>7</v>
      </c>
      <c r="L84">
        <v>4</v>
      </c>
      <c r="M84">
        <v>5</v>
      </c>
      <c r="N84">
        <v>177</v>
      </c>
      <c r="O84">
        <v>153</v>
      </c>
      <c r="P84">
        <v>165</v>
      </c>
      <c r="Q84">
        <v>157</v>
      </c>
    </row>
    <row r="85" spans="1:17" x14ac:dyDescent="0.25">
      <c r="A85">
        <v>84</v>
      </c>
      <c r="B85">
        <v>7156</v>
      </c>
      <c r="C85">
        <v>1</v>
      </c>
      <c r="D85">
        <v>3221</v>
      </c>
      <c r="E85">
        <v>4</v>
      </c>
      <c r="F85">
        <v>4636</v>
      </c>
      <c r="G85">
        <v>3</v>
      </c>
      <c r="H85">
        <v>5464</v>
      </c>
      <c r="I85">
        <v>2</v>
      </c>
      <c r="J85">
        <v>1</v>
      </c>
      <c r="K85">
        <v>10</v>
      </c>
      <c r="L85">
        <v>8</v>
      </c>
      <c r="M85">
        <v>7</v>
      </c>
      <c r="N85">
        <v>177</v>
      </c>
      <c r="O85">
        <v>145</v>
      </c>
      <c r="P85">
        <v>161</v>
      </c>
      <c r="Q85">
        <v>161</v>
      </c>
    </row>
    <row r="86" spans="1:17" x14ac:dyDescent="0.25">
      <c r="A86">
        <v>85</v>
      </c>
      <c r="B86">
        <v>3273</v>
      </c>
      <c r="C86">
        <v>3</v>
      </c>
      <c r="D86">
        <v>2109</v>
      </c>
      <c r="E86">
        <v>4</v>
      </c>
      <c r="F86">
        <v>3877</v>
      </c>
      <c r="G86">
        <v>2</v>
      </c>
      <c r="H86">
        <v>6296</v>
      </c>
      <c r="I86">
        <v>1</v>
      </c>
      <c r="J86">
        <v>17</v>
      </c>
      <c r="K86">
        <v>2</v>
      </c>
      <c r="L86">
        <v>3</v>
      </c>
      <c r="M86">
        <v>15</v>
      </c>
      <c r="N86">
        <v>144</v>
      </c>
      <c r="O86">
        <v>49</v>
      </c>
      <c r="P86">
        <v>42</v>
      </c>
      <c r="Q86">
        <v>133</v>
      </c>
    </row>
    <row r="87" spans="1:17" x14ac:dyDescent="0.25">
      <c r="A87">
        <v>86</v>
      </c>
      <c r="B87">
        <v>5088</v>
      </c>
      <c r="C87">
        <v>4</v>
      </c>
      <c r="D87">
        <v>5384</v>
      </c>
      <c r="E87">
        <v>2</v>
      </c>
      <c r="F87">
        <v>5556</v>
      </c>
      <c r="G87">
        <v>1</v>
      </c>
      <c r="H87">
        <v>5341</v>
      </c>
      <c r="I87">
        <v>3</v>
      </c>
      <c r="J87">
        <v>6</v>
      </c>
      <c r="K87">
        <v>7</v>
      </c>
      <c r="L87">
        <v>8</v>
      </c>
      <c r="M87">
        <v>5</v>
      </c>
      <c r="N87">
        <v>154</v>
      </c>
      <c r="O87">
        <v>162</v>
      </c>
      <c r="P87">
        <v>136</v>
      </c>
      <c r="Q87">
        <v>160</v>
      </c>
    </row>
    <row r="88" spans="1:17" x14ac:dyDescent="0.25">
      <c r="A88">
        <v>87</v>
      </c>
      <c r="B88">
        <v>4347</v>
      </c>
      <c r="C88">
        <v>4</v>
      </c>
      <c r="D88">
        <v>6185</v>
      </c>
      <c r="E88">
        <v>1</v>
      </c>
      <c r="F88">
        <v>4811</v>
      </c>
      <c r="G88">
        <v>3</v>
      </c>
      <c r="H88">
        <v>5625</v>
      </c>
      <c r="I88">
        <v>2</v>
      </c>
      <c r="J88">
        <v>8</v>
      </c>
      <c r="K88">
        <v>6</v>
      </c>
      <c r="L88">
        <v>8</v>
      </c>
      <c r="M88">
        <v>11</v>
      </c>
      <c r="N88">
        <v>132</v>
      </c>
      <c r="O88">
        <v>115</v>
      </c>
      <c r="P88">
        <v>102</v>
      </c>
      <c r="Q88">
        <v>135</v>
      </c>
    </row>
    <row r="89" spans="1:17" x14ac:dyDescent="0.25">
      <c r="A89">
        <v>88</v>
      </c>
      <c r="B89">
        <v>4592</v>
      </c>
      <c r="C89">
        <v>3</v>
      </c>
      <c r="D89">
        <v>4685</v>
      </c>
      <c r="E89">
        <v>2</v>
      </c>
      <c r="F89">
        <v>2271</v>
      </c>
      <c r="G89">
        <v>4</v>
      </c>
      <c r="H89">
        <v>5844</v>
      </c>
      <c r="I89">
        <v>1</v>
      </c>
      <c r="J89">
        <v>10</v>
      </c>
      <c r="K89">
        <v>17</v>
      </c>
      <c r="L89">
        <v>13</v>
      </c>
      <c r="M89">
        <v>8</v>
      </c>
      <c r="N89">
        <v>160</v>
      </c>
      <c r="O89">
        <v>131</v>
      </c>
      <c r="P89">
        <v>127</v>
      </c>
      <c r="Q89">
        <v>160</v>
      </c>
    </row>
    <row r="90" spans="1:17" x14ac:dyDescent="0.25">
      <c r="A90">
        <v>89</v>
      </c>
      <c r="B90">
        <v>5869</v>
      </c>
      <c r="C90">
        <v>1</v>
      </c>
      <c r="D90">
        <v>5161</v>
      </c>
      <c r="E90">
        <v>3</v>
      </c>
      <c r="F90">
        <v>3934</v>
      </c>
      <c r="G90">
        <v>4</v>
      </c>
      <c r="H90">
        <v>5225</v>
      </c>
      <c r="I90">
        <v>2</v>
      </c>
      <c r="J90">
        <v>9</v>
      </c>
      <c r="K90">
        <v>4</v>
      </c>
      <c r="L90">
        <v>4</v>
      </c>
      <c r="M90">
        <v>9</v>
      </c>
      <c r="N90">
        <v>159</v>
      </c>
      <c r="O90">
        <v>152</v>
      </c>
      <c r="P90">
        <v>146</v>
      </c>
      <c r="Q90">
        <v>161</v>
      </c>
    </row>
    <row r="91" spans="1:17" x14ac:dyDescent="0.25">
      <c r="A91">
        <v>90</v>
      </c>
      <c r="B91">
        <v>6898</v>
      </c>
      <c r="C91">
        <v>1</v>
      </c>
      <c r="D91">
        <v>5828</v>
      </c>
      <c r="E91">
        <v>2</v>
      </c>
      <c r="F91">
        <v>4168</v>
      </c>
      <c r="G91">
        <v>3</v>
      </c>
      <c r="H91">
        <v>3978</v>
      </c>
      <c r="I91">
        <v>4</v>
      </c>
      <c r="J91">
        <v>9</v>
      </c>
      <c r="K91">
        <v>5</v>
      </c>
      <c r="L91">
        <v>7</v>
      </c>
      <c r="M91">
        <v>8</v>
      </c>
      <c r="N91">
        <v>155</v>
      </c>
      <c r="O91">
        <v>160</v>
      </c>
      <c r="P91">
        <v>94</v>
      </c>
      <c r="Q91">
        <v>108</v>
      </c>
    </row>
    <row r="92" spans="1:17" x14ac:dyDescent="0.25">
      <c r="A92">
        <v>91</v>
      </c>
      <c r="B92">
        <v>6002</v>
      </c>
      <c r="C92">
        <v>1</v>
      </c>
      <c r="D92">
        <v>4886</v>
      </c>
      <c r="E92">
        <v>2</v>
      </c>
      <c r="F92">
        <v>4796</v>
      </c>
      <c r="G92">
        <v>3</v>
      </c>
      <c r="H92">
        <v>4755</v>
      </c>
      <c r="I92">
        <v>4</v>
      </c>
      <c r="J92">
        <v>10</v>
      </c>
      <c r="K92">
        <v>6</v>
      </c>
      <c r="L92">
        <v>10</v>
      </c>
      <c r="M92">
        <v>10</v>
      </c>
      <c r="N92">
        <v>153</v>
      </c>
      <c r="O92">
        <v>142</v>
      </c>
      <c r="P92">
        <v>131</v>
      </c>
      <c r="Q92">
        <v>129</v>
      </c>
    </row>
    <row r="93" spans="1:17" x14ac:dyDescent="0.25">
      <c r="A93">
        <v>92</v>
      </c>
      <c r="B93">
        <v>10582</v>
      </c>
      <c r="C93">
        <v>1</v>
      </c>
      <c r="D93">
        <v>1163</v>
      </c>
      <c r="E93">
        <v>4</v>
      </c>
      <c r="F93">
        <v>5857</v>
      </c>
      <c r="G93">
        <v>2</v>
      </c>
      <c r="H93">
        <v>3316</v>
      </c>
      <c r="I93">
        <v>3</v>
      </c>
      <c r="J93">
        <v>7</v>
      </c>
      <c r="K93">
        <v>3</v>
      </c>
      <c r="L93">
        <v>8</v>
      </c>
      <c r="M93">
        <v>2</v>
      </c>
      <c r="N93">
        <v>143</v>
      </c>
      <c r="O93">
        <v>30</v>
      </c>
      <c r="P93">
        <v>138</v>
      </c>
      <c r="Q93">
        <v>29</v>
      </c>
    </row>
    <row r="94" spans="1:17" x14ac:dyDescent="0.25">
      <c r="A94">
        <v>93</v>
      </c>
      <c r="B94">
        <v>6046</v>
      </c>
      <c r="C94">
        <v>1</v>
      </c>
      <c r="D94">
        <v>5518</v>
      </c>
      <c r="E94">
        <v>2</v>
      </c>
      <c r="F94">
        <v>5388</v>
      </c>
      <c r="G94">
        <v>3</v>
      </c>
      <c r="H94">
        <v>4452</v>
      </c>
      <c r="I94">
        <v>4</v>
      </c>
      <c r="J94">
        <v>12</v>
      </c>
      <c r="K94">
        <v>11</v>
      </c>
      <c r="L94">
        <v>7</v>
      </c>
      <c r="M94">
        <v>11</v>
      </c>
      <c r="N94">
        <v>139</v>
      </c>
      <c r="O94">
        <v>146</v>
      </c>
      <c r="P94">
        <v>110</v>
      </c>
      <c r="Q94">
        <v>143</v>
      </c>
    </row>
    <row r="95" spans="1:17" x14ac:dyDescent="0.25">
      <c r="A95">
        <v>94</v>
      </c>
      <c r="B95">
        <v>5329</v>
      </c>
      <c r="C95">
        <v>2</v>
      </c>
      <c r="D95">
        <v>2962</v>
      </c>
      <c r="E95">
        <v>3</v>
      </c>
      <c r="F95">
        <v>8645</v>
      </c>
      <c r="G95">
        <v>1</v>
      </c>
      <c r="H95">
        <v>1786</v>
      </c>
      <c r="I95">
        <v>4</v>
      </c>
      <c r="J95">
        <v>8</v>
      </c>
      <c r="K95">
        <v>5</v>
      </c>
      <c r="L95">
        <v>14</v>
      </c>
      <c r="M95">
        <v>7</v>
      </c>
      <c r="N95">
        <v>139</v>
      </c>
      <c r="O95">
        <v>46</v>
      </c>
      <c r="P95">
        <v>136</v>
      </c>
      <c r="Q95">
        <v>45</v>
      </c>
    </row>
    <row r="96" spans="1:17" x14ac:dyDescent="0.25">
      <c r="A96">
        <v>95</v>
      </c>
      <c r="B96">
        <v>5497</v>
      </c>
      <c r="C96">
        <v>3</v>
      </c>
      <c r="D96">
        <v>5949</v>
      </c>
      <c r="E96">
        <v>2</v>
      </c>
      <c r="F96">
        <v>3506</v>
      </c>
      <c r="G96">
        <v>4</v>
      </c>
      <c r="H96">
        <v>6014</v>
      </c>
      <c r="I96">
        <v>1</v>
      </c>
      <c r="J96">
        <v>3</v>
      </c>
      <c r="K96">
        <v>10</v>
      </c>
      <c r="L96">
        <v>6</v>
      </c>
      <c r="M96">
        <v>10</v>
      </c>
      <c r="N96">
        <v>158</v>
      </c>
      <c r="O96">
        <v>161</v>
      </c>
      <c r="P96">
        <v>147</v>
      </c>
      <c r="Q96">
        <v>151</v>
      </c>
    </row>
    <row r="97" spans="1:17" x14ac:dyDescent="0.25">
      <c r="A97">
        <v>96</v>
      </c>
      <c r="B97">
        <v>4176</v>
      </c>
      <c r="C97">
        <v>3</v>
      </c>
      <c r="D97">
        <v>7729</v>
      </c>
      <c r="E97">
        <v>1</v>
      </c>
      <c r="F97">
        <v>1065</v>
      </c>
      <c r="G97">
        <v>4</v>
      </c>
      <c r="H97">
        <v>5191</v>
      </c>
      <c r="I97">
        <v>2</v>
      </c>
      <c r="J97">
        <v>10</v>
      </c>
      <c r="K97">
        <v>10</v>
      </c>
      <c r="L97">
        <v>3</v>
      </c>
      <c r="M97">
        <v>3</v>
      </c>
      <c r="N97">
        <v>107</v>
      </c>
      <c r="O97">
        <v>123</v>
      </c>
      <c r="P97">
        <v>45</v>
      </c>
      <c r="Q97">
        <v>52</v>
      </c>
    </row>
    <row r="98" spans="1:17" x14ac:dyDescent="0.25">
      <c r="A98">
        <v>97</v>
      </c>
      <c r="B98">
        <v>7241</v>
      </c>
      <c r="C98">
        <v>1</v>
      </c>
      <c r="D98">
        <v>2738</v>
      </c>
      <c r="E98">
        <v>4</v>
      </c>
      <c r="F98">
        <v>5701</v>
      </c>
      <c r="G98">
        <v>3</v>
      </c>
      <c r="H98">
        <v>6520</v>
      </c>
      <c r="I98">
        <v>2</v>
      </c>
      <c r="J98">
        <v>4</v>
      </c>
      <c r="K98">
        <v>5</v>
      </c>
      <c r="L98">
        <v>8</v>
      </c>
      <c r="M98">
        <v>9</v>
      </c>
      <c r="N98">
        <v>123</v>
      </c>
      <c r="O98">
        <v>58</v>
      </c>
      <c r="P98">
        <v>105</v>
      </c>
      <c r="Q98">
        <v>113</v>
      </c>
    </row>
    <row r="99" spans="1:17" x14ac:dyDescent="0.25">
      <c r="A99">
        <v>98</v>
      </c>
      <c r="B99">
        <v>4210</v>
      </c>
      <c r="C99">
        <v>2</v>
      </c>
      <c r="D99">
        <v>1500</v>
      </c>
      <c r="E99">
        <v>3</v>
      </c>
      <c r="F99">
        <v>14593</v>
      </c>
      <c r="G99">
        <v>1</v>
      </c>
      <c r="H99">
        <v>971</v>
      </c>
      <c r="I99">
        <v>4</v>
      </c>
      <c r="J99">
        <v>6</v>
      </c>
      <c r="K99">
        <v>1</v>
      </c>
      <c r="L99">
        <v>6</v>
      </c>
      <c r="M99">
        <v>1</v>
      </c>
      <c r="N99">
        <v>120</v>
      </c>
      <c r="O99">
        <v>25</v>
      </c>
      <c r="P99">
        <v>125</v>
      </c>
      <c r="Q99">
        <v>22</v>
      </c>
    </row>
    <row r="100" spans="1:17" x14ac:dyDescent="0.25">
      <c r="A100">
        <v>99</v>
      </c>
      <c r="B100">
        <v>7846</v>
      </c>
      <c r="C100">
        <v>2</v>
      </c>
      <c r="D100">
        <v>10324</v>
      </c>
      <c r="E100">
        <v>1</v>
      </c>
      <c r="F100">
        <v>533</v>
      </c>
      <c r="G100">
        <v>4</v>
      </c>
      <c r="H100">
        <v>2083</v>
      </c>
      <c r="I100">
        <v>3</v>
      </c>
      <c r="J100">
        <v>8</v>
      </c>
      <c r="K100">
        <v>9</v>
      </c>
      <c r="L100">
        <v>3</v>
      </c>
      <c r="M100">
        <v>0</v>
      </c>
      <c r="N100">
        <v>137</v>
      </c>
      <c r="O100">
        <v>136</v>
      </c>
      <c r="P100">
        <v>368</v>
      </c>
      <c r="Q100">
        <v>374</v>
      </c>
    </row>
    <row r="101" spans="1:17" x14ac:dyDescent="0.25">
      <c r="A101">
        <v>100</v>
      </c>
      <c r="B101">
        <v>5564</v>
      </c>
      <c r="C101">
        <v>2</v>
      </c>
      <c r="D101">
        <v>5999</v>
      </c>
      <c r="E101">
        <v>1</v>
      </c>
      <c r="F101">
        <v>5216</v>
      </c>
      <c r="G101">
        <v>4</v>
      </c>
      <c r="H101">
        <v>5506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169</v>
      </c>
      <c r="O101">
        <v>180</v>
      </c>
      <c r="P101">
        <v>169</v>
      </c>
      <c r="Q101">
        <v>183</v>
      </c>
    </row>
    <row r="102" spans="1:17" x14ac:dyDescent="0.25">
      <c r="A102">
        <v>101</v>
      </c>
      <c r="B102">
        <v>10593</v>
      </c>
      <c r="C102">
        <v>1</v>
      </c>
      <c r="D102">
        <v>1828</v>
      </c>
      <c r="E102">
        <v>3</v>
      </c>
      <c r="F102">
        <v>7727</v>
      </c>
      <c r="G102">
        <v>2</v>
      </c>
      <c r="H102">
        <v>1592</v>
      </c>
      <c r="I102">
        <v>4</v>
      </c>
      <c r="J102">
        <v>3</v>
      </c>
      <c r="K102">
        <v>3</v>
      </c>
      <c r="L102">
        <v>1</v>
      </c>
      <c r="M102">
        <v>3</v>
      </c>
      <c r="N102">
        <v>155</v>
      </c>
      <c r="O102">
        <v>51</v>
      </c>
      <c r="P102">
        <v>159</v>
      </c>
      <c r="Q102">
        <v>51</v>
      </c>
    </row>
    <row r="103" spans="1:17" x14ac:dyDescent="0.25">
      <c r="A103">
        <v>102</v>
      </c>
      <c r="B103">
        <v>7416</v>
      </c>
      <c r="C103">
        <v>1</v>
      </c>
      <c r="D103">
        <v>4078</v>
      </c>
      <c r="E103">
        <v>3</v>
      </c>
      <c r="F103">
        <v>2941</v>
      </c>
      <c r="G103">
        <v>4</v>
      </c>
      <c r="H103">
        <v>6857</v>
      </c>
      <c r="I103">
        <v>2</v>
      </c>
      <c r="J103">
        <v>3</v>
      </c>
      <c r="K103">
        <v>9</v>
      </c>
      <c r="L103">
        <v>9</v>
      </c>
      <c r="M103">
        <v>9</v>
      </c>
      <c r="N103">
        <v>139</v>
      </c>
      <c r="O103">
        <v>89</v>
      </c>
      <c r="P103">
        <v>85</v>
      </c>
      <c r="Q103">
        <v>130</v>
      </c>
    </row>
    <row r="104" spans="1:17" x14ac:dyDescent="0.25">
      <c r="A104">
        <v>103</v>
      </c>
      <c r="B104">
        <v>2498</v>
      </c>
      <c r="C104">
        <v>2</v>
      </c>
      <c r="D104">
        <v>810</v>
      </c>
      <c r="E104">
        <v>3</v>
      </c>
      <c r="F104">
        <v>162</v>
      </c>
      <c r="G104">
        <v>4</v>
      </c>
      <c r="H104">
        <v>2903</v>
      </c>
      <c r="I104">
        <v>1</v>
      </c>
      <c r="J104">
        <v>1</v>
      </c>
      <c r="K104">
        <v>2</v>
      </c>
      <c r="L104">
        <v>55</v>
      </c>
      <c r="M104">
        <v>55</v>
      </c>
      <c r="N104">
        <v>64</v>
      </c>
      <c r="O104">
        <v>17</v>
      </c>
      <c r="P104">
        <v>65</v>
      </c>
      <c r="Q104">
        <v>23</v>
      </c>
    </row>
    <row r="105" spans="1:17" x14ac:dyDescent="0.25">
      <c r="A105">
        <v>104</v>
      </c>
      <c r="B105">
        <v>4561</v>
      </c>
      <c r="C105">
        <v>4</v>
      </c>
      <c r="D105">
        <v>4935</v>
      </c>
      <c r="E105">
        <v>2</v>
      </c>
      <c r="F105">
        <v>6209</v>
      </c>
      <c r="G105">
        <v>1</v>
      </c>
      <c r="H105">
        <v>4810</v>
      </c>
      <c r="I105">
        <v>3</v>
      </c>
      <c r="J105">
        <v>6</v>
      </c>
      <c r="K105">
        <v>9</v>
      </c>
      <c r="L105">
        <v>7</v>
      </c>
      <c r="M105">
        <v>8</v>
      </c>
      <c r="N105">
        <v>118</v>
      </c>
      <c r="O105">
        <v>141</v>
      </c>
      <c r="P105">
        <v>122</v>
      </c>
      <c r="Q105">
        <v>137</v>
      </c>
    </row>
    <row r="106" spans="1:17" x14ac:dyDescent="0.25">
      <c r="A106">
        <v>105</v>
      </c>
      <c r="B106">
        <v>7911</v>
      </c>
      <c r="C106">
        <v>2</v>
      </c>
      <c r="D106">
        <v>2689</v>
      </c>
      <c r="E106">
        <v>3</v>
      </c>
      <c r="F106">
        <v>8930</v>
      </c>
      <c r="G106">
        <v>1</v>
      </c>
      <c r="H106">
        <v>964</v>
      </c>
      <c r="I106">
        <v>4</v>
      </c>
      <c r="J106">
        <v>2</v>
      </c>
      <c r="K106">
        <v>1</v>
      </c>
      <c r="L106">
        <v>3</v>
      </c>
      <c r="M106">
        <v>0</v>
      </c>
      <c r="N106">
        <v>159</v>
      </c>
      <c r="O106">
        <v>29</v>
      </c>
      <c r="P106">
        <v>165</v>
      </c>
      <c r="Q106">
        <v>29</v>
      </c>
    </row>
    <row r="107" spans="1:17" x14ac:dyDescent="0.25">
      <c r="A107">
        <v>106</v>
      </c>
      <c r="B107">
        <v>4853</v>
      </c>
      <c r="C107">
        <v>2</v>
      </c>
      <c r="D107">
        <v>3341</v>
      </c>
      <c r="E107">
        <v>3</v>
      </c>
      <c r="F107">
        <v>2991</v>
      </c>
      <c r="G107">
        <v>4</v>
      </c>
      <c r="H107">
        <v>9228</v>
      </c>
      <c r="I107">
        <v>1</v>
      </c>
      <c r="J107">
        <v>2</v>
      </c>
      <c r="K107">
        <v>3</v>
      </c>
      <c r="L107">
        <v>3</v>
      </c>
      <c r="M107">
        <v>2</v>
      </c>
      <c r="N107">
        <v>140</v>
      </c>
      <c r="O107">
        <v>70</v>
      </c>
      <c r="P107">
        <v>72</v>
      </c>
      <c r="Q107">
        <v>150</v>
      </c>
    </row>
    <row r="108" spans="1:17" x14ac:dyDescent="0.25">
      <c r="A108">
        <v>107</v>
      </c>
      <c r="B108">
        <v>6106</v>
      </c>
      <c r="C108">
        <v>2</v>
      </c>
      <c r="D108">
        <v>6740</v>
      </c>
      <c r="E108">
        <v>1</v>
      </c>
      <c r="F108">
        <v>4070</v>
      </c>
      <c r="G108">
        <v>4</v>
      </c>
      <c r="H108">
        <v>5391</v>
      </c>
      <c r="I108">
        <v>3</v>
      </c>
      <c r="J108">
        <v>4</v>
      </c>
      <c r="K108">
        <v>6</v>
      </c>
      <c r="L108">
        <v>5</v>
      </c>
      <c r="M108">
        <v>6</v>
      </c>
      <c r="N108">
        <v>148</v>
      </c>
      <c r="O108">
        <v>152</v>
      </c>
      <c r="P108">
        <v>132</v>
      </c>
      <c r="Q108">
        <v>127</v>
      </c>
    </row>
    <row r="109" spans="1:17" x14ac:dyDescent="0.25">
      <c r="A109">
        <v>108</v>
      </c>
      <c r="B109">
        <v>4233</v>
      </c>
      <c r="C109">
        <v>3</v>
      </c>
      <c r="D109">
        <v>6963</v>
      </c>
      <c r="E109">
        <v>1</v>
      </c>
      <c r="F109">
        <v>3833</v>
      </c>
      <c r="G109">
        <v>4</v>
      </c>
      <c r="H109">
        <v>4602</v>
      </c>
      <c r="I109">
        <v>2</v>
      </c>
      <c r="J109">
        <v>9</v>
      </c>
      <c r="K109">
        <v>10</v>
      </c>
      <c r="L109">
        <v>12</v>
      </c>
      <c r="M109">
        <v>13</v>
      </c>
      <c r="N109">
        <v>139</v>
      </c>
      <c r="O109">
        <v>131</v>
      </c>
      <c r="P109">
        <v>127</v>
      </c>
      <c r="Q109">
        <v>138</v>
      </c>
    </row>
    <row r="110" spans="1:17" x14ac:dyDescent="0.25">
      <c r="A110">
        <v>109</v>
      </c>
      <c r="B110">
        <v>5737</v>
      </c>
      <c r="C110">
        <v>3</v>
      </c>
      <c r="D110">
        <v>6250</v>
      </c>
      <c r="E110">
        <v>1</v>
      </c>
      <c r="F110">
        <v>3693</v>
      </c>
      <c r="G110">
        <v>4</v>
      </c>
      <c r="H110">
        <v>5899</v>
      </c>
      <c r="I110">
        <v>2</v>
      </c>
      <c r="J110">
        <v>10</v>
      </c>
      <c r="K110">
        <v>5</v>
      </c>
      <c r="L110">
        <v>10</v>
      </c>
      <c r="M110">
        <v>6</v>
      </c>
      <c r="N110">
        <v>151</v>
      </c>
      <c r="O110">
        <v>166</v>
      </c>
      <c r="P110">
        <v>153</v>
      </c>
      <c r="Q110">
        <v>170</v>
      </c>
    </row>
    <row r="111" spans="1:17" x14ac:dyDescent="0.25">
      <c r="A111">
        <v>110</v>
      </c>
      <c r="B111">
        <v>9786</v>
      </c>
      <c r="C111">
        <v>1</v>
      </c>
      <c r="D111">
        <v>1343</v>
      </c>
      <c r="E111">
        <v>4</v>
      </c>
      <c r="F111">
        <v>3713</v>
      </c>
      <c r="G111">
        <v>2</v>
      </c>
      <c r="H111">
        <v>2828</v>
      </c>
      <c r="I111">
        <v>3</v>
      </c>
      <c r="J111">
        <v>9</v>
      </c>
      <c r="K111">
        <v>3</v>
      </c>
      <c r="L111">
        <v>10</v>
      </c>
      <c r="M111">
        <v>2</v>
      </c>
      <c r="N111">
        <v>101</v>
      </c>
      <c r="O111">
        <v>24</v>
      </c>
      <c r="P111">
        <v>91</v>
      </c>
      <c r="Q111">
        <v>33</v>
      </c>
    </row>
    <row r="112" spans="1:17" x14ac:dyDescent="0.25">
      <c r="A112">
        <v>111</v>
      </c>
      <c r="B112">
        <v>1422</v>
      </c>
      <c r="C112">
        <v>3</v>
      </c>
      <c r="D112">
        <v>1916</v>
      </c>
      <c r="E112">
        <v>2</v>
      </c>
      <c r="F112">
        <v>6359</v>
      </c>
      <c r="G112">
        <v>1</v>
      </c>
      <c r="H112">
        <v>944</v>
      </c>
      <c r="I112">
        <v>4</v>
      </c>
      <c r="J112">
        <v>6</v>
      </c>
      <c r="K112">
        <v>4</v>
      </c>
      <c r="L112">
        <v>6</v>
      </c>
      <c r="M112">
        <v>6</v>
      </c>
      <c r="N112">
        <v>46</v>
      </c>
      <c r="O112">
        <v>40</v>
      </c>
      <c r="P112">
        <v>32</v>
      </c>
      <c r="Q112">
        <v>49</v>
      </c>
    </row>
    <row r="113" spans="1:17" x14ac:dyDescent="0.25">
      <c r="A113">
        <v>112</v>
      </c>
      <c r="B113">
        <v>7796</v>
      </c>
      <c r="C113">
        <v>1</v>
      </c>
      <c r="D113">
        <v>3303</v>
      </c>
      <c r="E113">
        <v>3</v>
      </c>
      <c r="F113">
        <v>3092</v>
      </c>
      <c r="G113">
        <v>4</v>
      </c>
      <c r="H113">
        <v>5861</v>
      </c>
      <c r="I113">
        <v>2</v>
      </c>
      <c r="J113">
        <v>2</v>
      </c>
      <c r="K113">
        <v>2</v>
      </c>
      <c r="L113">
        <v>8</v>
      </c>
      <c r="M113">
        <v>8</v>
      </c>
      <c r="N113">
        <v>216</v>
      </c>
      <c r="O113">
        <v>183</v>
      </c>
      <c r="P113">
        <v>126</v>
      </c>
      <c r="Q113">
        <v>119</v>
      </c>
    </row>
    <row r="114" spans="1:17" x14ac:dyDescent="0.25">
      <c r="A114">
        <v>113</v>
      </c>
      <c r="B114">
        <v>1605</v>
      </c>
      <c r="C114">
        <v>3</v>
      </c>
      <c r="D114">
        <v>1698</v>
      </c>
      <c r="E114">
        <v>2</v>
      </c>
      <c r="F114">
        <v>1019</v>
      </c>
      <c r="G114">
        <v>4</v>
      </c>
      <c r="H114">
        <v>1868</v>
      </c>
      <c r="I114">
        <v>1</v>
      </c>
      <c r="J114">
        <v>4</v>
      </c>
      <c r="K114">
        <v>1</v>
      </c>
      <c r="L114">
        <v>4</v>
      </c>
      <c r="M114">
        <v>7</v>
      </c>
      <c r="N114">
        <v>25</v>
      </c>
      <c r="O114">
        <v>29</v>
      </c>
      <c r="P114">
        <v>50</v>
      </c>
      <c r="Q114">
        <v>43</v>
      </c>
    </row>
    <row r="115" spans="1:17" x14ac:dyDescent="0.25">
      <c r="A115">
        <v>114</v>
      </c>
      <c r="B115">
        <v>6571</v>
      </c>
      <c r="C115">
        <v>1</v>
      </c>
      <c r="D115">
        <v>4090</v>
      </c>
      <c r="E115">
        <v>3</v>
      </c>
      <c r="F115">
        <v>3341</v>
      </c>
      <c r="G115">
        <v>4</v>
      </c>
      <c r="H115">
        <v>5030</v>
      </c>
      <c r="I115">
        <v>2</v>
      </c>
      <c r="J115">
        <v>12</v>
      </c>
      <c r="K115">
        <v>9</v>
      </c>
      <c r="L115">
        <v>10</v>
      </c>
      <c r="M115">
        <v>8</v>
      </c>
      <c r="N115">
        <v>107</v>
      </c>
      <c r="O115">
        <v>103</v>
      </c>
      <c r="P115">
        <v>107</v>
      </c>
      <c r="Q115">
        <v>114</v>
      </c>
    </row>
    <row r="116" spans="1:17" x14ac:dyDescent="0.25">
      <c r="A116">
        <v>115</v>
      </c>
      <c r="B116">
        <v>8362</v>
      </c>
      <c r="C116">
        <v>1</v>
      </c>
      <c r="D116">
        <v>3592</v>
      </c>
      <c r="E116">
        <v>3</v>
      </c>
      <c r="F116">
        <v>3271</v>
      </c>
      <c r="G116">
        <v>4</v>
      </c>
      <c r="H116">
        <v>3885</v>
      </c>
      <c r="I116">
        <v>2</v>
      </c>
      <c r="J116">
        <v>10</v>
      </c>
      <c r="K116">
        <v>7</v>
      </c>
      <c r="L116">
        <v>11</v>
      </c>
      <c r="M116">
        <v>7</v>
      </c>
      <c r="N116">
        <v>140</v>
      </c>
      <c r="O116">
        <v>126</v>
      </c>
      <c r="P116">
        <v>92</v>
      </c>
      <c r="Q116">
        <v>118</v>
      </c>
    </row>
    <row r="117" spans="1:17" x14ac:dyDescent="0.25">
      <c r="A117">
        <v>116</v>
      </c>
      <c r="B117">
        <v>4700</v>
      </c>
      <c r="C117">
        <v>2</v>
      </c>
      <c r="D117">
        <v>2397</v>
      </c>
      <c r="E117">
        <v>3</v>
      </c>
      <c r="F117">
        <v>9347</v>
      </c>
      <c r="G117">
        <v>1</v>
      </c>
      <c r="H117">
        <v>1678</v>
      </c>
      <c r="I117">
        <v>4</v>
      </c>
      <c r="J117">
        <v>8</v>
      </c>
      <c r="K117">
        <v>2</v>
      </c>
      <c r="L117">
        <v>13</v>
      </c>
      <c r="M117">
        <v>4</v>
      </c>
      <c r="N117">
        <v>129</v>
      </c>
      <c r="O117">
        <v>11</v>
      </c>
      <c r="P117">
        <v>118</v>
      </c>
      <c r="Q117">
        <v>9</v>
      </c>
    </row>
    <row r="118" spans="1:17" x14ac:dyDescent="0.25">
      <c r="A118">
        <v>117</v>
      </c>
      <c r="B118">
        <v>9526</v>
      </c>
      <c r="C118">
        <v>1</v>
      </c>
      <c r="D118">
        <v>1017</v>
      </c>
      <c r="E118">
        <v>4</v>
      </c>
      <c r="F118">
        <v>1559</v>
      </c>
      <c r="G118">
        <v>3</v>
      </c>
      <c r="H118">
        <v>7179</v>
      </c>
      <c r="I118">
        <v>2</v>
      </c>
      <c r="J118">
        <v>0</v>
      </c>
      <c r="K118">
        <v>2</v>
      </c>
      <c r="L118">
        <v>2</v>
      </c>
      <c r="M118">
        <v>2</v>
      </c>
      <c r="N118">
        <v>228</v>
      </c>
      <c r="O118">
        <v>38</v>
      </c>
      <c r="P118">
        <v>32</v>
      </c>
      <c r="Q118">
        <v>216</v>
      </c>
    </row>
    <row r="119" spans="1:17" x14ac:dyDescent="0.25">
      <c r="A119">
        <v>118</v>
      </c>
      <c r="B119">
        <v>6259</v>
      </c>
      <c r="C119">
        <v>1</v>
      </c>
      <c r="D119">
        <v>6173</v>
      </c>
      <c r="E119">
        <v>2</v>
      </c>
      <c r="F119">
        <v>4268</v>
      </c>
      <c r="G119">
        <v>4</v>
      </c>
      <c r="H119">
        <v>5254</v>
      </c>
      <c r="I119">
        <v>3</v>
      </c>
      <c r="J119">
        <v>5</v>
      </c>
      <c r="K119">
        <v>7</v>
      </c>
      <c r="L119">
        <v>6</v>
      </c>
      <c r="M119">
        <v>7</v>
      </c>
      <c r="N119">
        <v>158</v>
      </c>
      <c r="O119">
        <v>170</v>
      </c>
      <c r="P119">
        <v>121</v>
      </c>
      <c r="Q119">
        <v>158</v>
      </c>
    </row>
    <row r="120" spans="1:17" x14ac:dyDescent="0.25">
      <c r="A120">
        <v>119</v>
      </c>
      <c r="B120">
        <v>10825</v>
      </c>
      <c r="C120">
        <v>1</v>
      </c>
      <c r="D120">
        <v>3997</v>
      </c>
      <c r="E120">
        <v>2</v>
      </c>
      <c r="F120">
        <v>1342</v>
      </c>
      <c r="G120">
        <v>4</v>
      </c>
      <c r="H120">
        <v>2719</v>
      </c>
      <c r="I120">
        <v>3</v>
      </c>
      <c r="J120">
        <v>7</v>
      </c>
      <c r="K120">
        <v>8</v>
      </c>
      <c r="L120">
        <v>3</v>
      </c>
      <c r="M120">
        <v>5</v>
      </c>
      <c r="N120">
        <v>74</v>
      </c>
      <c r="O120">
        <v>71</v>
      </c>
      <c r="P120">
        <v>54</v>
      </c>
      <c r="Q120">
        <v>56</v>
      </c>
    </row>
    <row r="121" spans="1:17" x14ac:dyDescent="0.25">
      <c r="A121">
        <v>120</v>
      </c>
      <c r="B121">
        <v>11179</v>
      </c>
      <c r="C121">
        <v>1</v>
      </c>
      <c r="D121">
        <v>976</v>
      </c>
      <c r="E121">
        <v>3</v>
      </c>
      <c r="F121">
        <v>1157</v>
      </c>
      <c r="G121">
        <v>2</v>
      </c>
      <c r="H121">
        <v>66</v>
      </c>
      <c r="I121">
        <v>4</v>
      </c>
      <c r="J121">
        <v>34</v>
      </c>
      <c r="K121">
        <v>0</v>
      </c>
      <c r="L121">
        <v>0</v>
      </c>
      <c r="M121">
        <v>34</v>
      </c>
      <c r="N121">
        <v>54</v>
      </c>
      <c r="O121">
        <v>16</v>
      </c>
      <c r="P121">
        <v>22</v>
      </c>
      <c r="Q121">
        <v>5</v>
      </c>
    </row>
    <row r="122" spans="1:17" x14ac:dyDescent="0.25">
      <c r="A122">
        <v>121</v>
      </c>
      <c r="B122">
        <v>5583</v>
      </c>
      <c r="C122">
        <v>2</v>
      </c>
      <c r="D122">
        <v>3512</v>
      </c>
      <c r="E122">
        <v>4</v>
      </c>
      <c r="F122">
        <v>4421</v>
      </c>
      <c r="G122">
        <v>3</v>
      </c>
      <c r="H122">
        <v>6162</v>
      </c>
      <c r="I122">
        <v>1</v>
      </c>
      <c r="J122">
        <v>14</v>
      </c>
      <c r="K122">
        <v>13</v>
      </c>
      <c r="L122">
        <v>9</v>
      </c>
      <c r="M122">
        <v>17</v>
      </c>
      <c r="N122">
        <v>127</v>
      </c>
      <c r="O122">
        <v>97</v>
      </c>
      <c r="P122">
        <v>86</v>
      </c>
      <c r="Q122">
        <v>122</v>
      </c>
    </row>
    <row r="123" spans="1:17" x14ac:dyDescent="0.25">
      <c r="A123">
        <v>122</v>
      </c>
      <c r="B123">
        <v>1840</v>
      </c>
      <c r="C123">
        <v>4</v>
      </c>
      <c r="D123">
        <v>4329</v>
      </c>
      <c r="E123">
        <v>1</v>
      </c>
      <c r="F123">
        <v>3180</v>
      </c>
      <c r="G123">
        <v>2</v>
      </c>
      <c r="H123">
        <v>2338</v>
      </c>
      <c r="I123">
        <v>3</v>
      </c>
      <c r="J123">
        <v>13</v>
      </c>
      <c r="K123">
        <v>12</v>
      </c>
      <c r="L123">
        <v>2</v>
      </c>
      <c r="M123">
        <v>2</v>
      </c>
      <c r="N123">
        <v>48</v>
      </c>
      <c r="O123">
        <v>50</v>
      </c>
      <c r="P123">
        <v>26</v>
      </c>
      <c r="Q123">
        <v>44</v>
      </c>
    </row>
    <row r="124" spans="1:17" x14ac:dyDescent="0.25">
      <c r="A124">
        <v>123</v>
      </c>
      <c r="B124">
        <v>8758</v>
      </c>
      <c r="C124">
        <v>2</v>
      </c>
      <c r="D124">
        <v>2349</v>
      </c>
      <c r="E124">
        <v>3</v>
      </c>
      <c r="F124">
        <v>2181</v>
      </c>
      <c r="G124">
        <v>4</v>
      </c>
      <c r="H124">
        <v>9182</v>
      </c>
      <c r="I124">
        <v>1</v>
      </c>
      <c r="J124">
        <v>2</v>
      </c>
      <c r="K124">
        <v>5</v>
      </c>
      <c r="L124">
        <v>4</v>
      </c>
      <c r="M124">
        <v>6</v>
      </c>
      <c r="N124">
        <v>127</v>
      </c>
      <c r="O124">
        <v>49</v>
      </c>
      <c r="P124">
        <v>48</v>
      </c>
      <c r="Q124">
        <v>128</v>
      </c>
    </row>
    <row r="125" spans="1:17" x14ac:dyDescent="0.25">
      <c r="A125">
        <v>124</v>
      </c>
      <c r="B125">
        <v>7352</v>
      </c>
      <c r="C125">
        <v>1</v>
      </c>
      <c r="D125">
        <v>1057</v>
      </c>
      <c r="E125">
        <v>4</v>
      </c>
      <c r="F125">
        <v>3682</v>
      </c>
      <c r="G125">
        <v>3</v>
      </c>
      <c r="H125">
        <v>5562</v>
      </c>
      <c r="I125">
        <v>2</v>
      </c>
      <c r="J125">
        <v>3</v>
      </c>
      <c r="K125">
        <v>2</v>
      </c>
      <c r="L125">
        <v>3</v>
      </c>
      <c r="M125">
        <v>4</v>
      </c>
      <c r="N125">
        <v>160</v>
      </c>
      <c r="O125">
        <v>25</v>
      </c>
      <c r="P125">
        <v>82</v>
      </c>
      <c r="Q125">
        <v>110</v>
      </c>
    </row>
    <row r="126" spans="1:17" x14ac:dyDescent="0.25">
      <c r="A126">
        <v>125</v>
      </c>
      <c r="B126">
        <v>7093</v>
      </c>
      <c r="C126">
        <v>2</v>
      </c>
      <c r="D126">
        <v>2685</v>
      </c>
      <c r="E126">
        <v>3</v>
      </c>
      <c r="F126">
        <v>607</v>
      </c>
      <c r="G126">
        <v>4</v>
      </c>
      <c r="H126">
        <v>9411</v>
      </c>
      <c r="I126">
        <v>1</v>
      </c>
      <c r="J126">
        <v>2</v>
      </c>
      <c r="K126">
        <v>1</v>
      </c>
      <c r="L126">
        <v>2</v>
      </c>
      <c r="M126">
        <v>2</v>
      </c>
      <c r="N126">
        <v>166</v>
      </c>
      <c r="O126">
        <v>39</v>
      </c>
      <c r="P126">
        <v>34</v>
      </c>
      <c r="Q126">
        <v>167</v>
      </c>
    </row>
    <row r="127" spans="1:17" x14ac:dyDescent="0.25">
      <c r="A127">
        <v>126</v>
      </c>
      <c r="B127">
        <v>5932</v>
      </c>
      <c r="C127">
        <v>1</v>
      </c>
      <c r="D127">
        <v>4736</v>
      </c>
      <c r="E127">
        <v>3</v>
      </c>
      <c r="F127">
        <v>5871</v>
      </c>
      <c r="G127">
        <v>2</v>
      </c>
      <c r="H127">
        <v>3393</v>
      </c>
      <c r="I127">
        <v>4</v>
      </c>
      <c r="J127">
        <v>2</v>
      </c>
      <c r="K127">
        <v>7</v>
      </c>
      <c r="L127">
        <v>14</v>
      </c>
      <c r="M127">
        <v>11</v>
      </c>
      <c r="N127">
        <v>135</v>
      </c>
      <c r="O127">
        <v>96</v>
      </c>
      <c r="P127">
        <v>101</v>
      </c>
      <c r="Q127">
        <v>98</v>
      </c>
    </row>
    <row r="128" spans="1:17" x14ac:dyDescent="0.25">
      <c r="A128">
        <v>127</v>
      </c>
      <c r="B128">
        <v>1395</v>
      </c>
      <c r="C128">
        <v>4</v>
      </c>
      <c r="D128">
        <v>1839</v>
      </c>
      <c r="E128">
        <v>3</v>
      </c>
      <c r="F128">
        <v>8943</v>
      </c>
      <c r="G128">
        <v>1</v>
      </c>
      <c r="H128">
        <v>7538</v>
      </c>
      <c r="I128">
        <v>2</v>
      </c>
      <c r="J128">
        <v>2</v>
      </c>
      <c r="K128">
        <v>6</v>
      </c>
      <c r="L128">
        <v>3</v>
      </c>
      <c r="M128">
        <v>3</v>
      </c>
      <c r="N128">
        <v>43</v>
      </c>
      <c r="O128">
        <v>45</v>
      </c>
      <c r="P128">
        <v>86</v>
      </c>
      <c r="Q128">
        <v>89</v>
      </c>
    </row>
    <row r="129" spans="1:17" x14ac:dyDescent="0.25">
      <c r="A129">
        <v>128</v>
      </c>
      <c r="B129">
        <v>8695</v>
      </c>
      <c r="C129">
        <v>1</v>
      </c>
      <c r="D129">
        <v>2293</v>
      </c>
      <c r="E129">
        <v>3</v>
      </c>
      <c r="F129">
        <v>5806</v>
      </c>
      <c r="G129">
        <v>2</v>
      </c>
      <c r="H129">
        <v>1655</v>
      </c>
      <c r="I129">
        <v>4</v>
      </c>
      <c r="J129">
        <v>7</v>
      </c>
      <c r="K129">
        <v>8</v>
      </c>
      <c r="L129">
        <v>5</v>
      </c>
      <c r="M129">
        <v>10</v>
      </c>
      <c r="N129">
        <v>148</v>
      </c>
      <c r="O129">
        <v>47</v>
      </c>
      <c r="P129">
        <v>135</v>
      </c>
      <c r="Q129">
        <v>50</v>
      </c>
    </row>
    <row r="130" spans="1:17" x14ac:dyDescent="0.25">
      <c r="A130">
        <v>129</v>
      </c>
      <c r="B130">
        <v>7981</v>
      </c>
      <c r="C130">
        <v>1</v>
      </c>
      <c r="D130">
        <v>4250</v>
      </c>
      <c r="E130">
        <v>3</v>
      </c>
      <c r="F130">
        <v>5425</v>
      </c>
      <c r="G130">
        <v>2</v>
      </c>
      <c r="H130">
        <v>4230</v>
      </c>
      <c r="I130">
        <v>4</v>
      </c>
      <c r="J130">
        <v>5</v>
      </c>
      <c r="K130">
        <v>14</v>
      </c>
      <c r="L130">
        <v>2</v>
      </c>
      <c r="M130">
        <v>12</v>
      </c>
      <c r="N130">
        <v>149</v>
      </c>
      <c r="O130">
        <v>149</v>
      </c>
      <c r="P130">
        <v>145</v>
      </c>
      <c r="Q130">
        <v>155</v>
      </c>
    </row>
    <row r="131" spans="1:17" x14ac:dyDescent="0.25">
      <c r="A131">
        <v>130</v>
      </c>
      <c r="B131">
        <v>6046</v>
      </c>
      <c r="C131">
        <v>2</v>
      </c>
      <c r="D131">
        <v>4108</v>
      </c>
      <c r="E131">
        <v>3</v>
      </c>
      <c r="F131">
        <v>7578</v>
      </c>
      <c r="G131">
        <v>1</v>
      </c>
      <c r="H131">
        <v>3217</v>
      </c>
      <c r="I131">
        <v>4</v>
      </c>
      <c r="J131">
        <v>3</v>
      </c>
      <c r="K131">
        <v>13</v>
      </c>
      <c r="L131">
        <v>2</v>
      </c>
      <c r="M131">
        <v>14</v>
      </c>
      <c r="N131">
        <v>128</v>
      </c>
      <c r="O131">
        <v>88</v>
      </c>
      <c r="P131">
        <v>132</v>
      </c>
      <c r="Q131">
        <v>86</v>
      </c>
    </row>
    <row r="132" spans="1:17" x14ac:dyDescent="0.25">
      <c r="A132">
        <v>131</v>
      </c>
      <c r="B132">
        <v>9729</v>
      </c>
      <c r="C132">
        <v>1</v>
      </c>
      <c r="D132">
        <v>1734</v>
      </c>
      <c r="E132">
        <v>3</v>
      </c>
      <c r="F132">
        <v>3349</v>
      </c>
      <c r="G132">
        <v>2</v>
      </c>
      <c r="H132">
        <v>1103</v>
      </c>
      <c r="I132">
        <v>4</v>
      </c>
      <c r="J132">
        <v>24</v>
      </c>
      <c r="K132">
        <v>4</v>
      </c>
      <c r="L132">
        <v>27</v>
      </c>
      <c r="M132">
        <v>5</v>
      </c>
      <c r="N132">
        <v>75</v>
      </c>
      <c r="O132">
        <v>46</v>
      </c>
      <c r="P132">
        <v>51</v>
      </c>
      <c r="Q132">
        <v>34</v>
      </c>
    </row>
    <row r="133" spans="1:17" x14ac:dyDescent="0.25">
      <c r="A133">
        <v>132</v>
      </c>
      <c r="B133">
        <v>3928</v>
      </c>
      <c r="C133">
        <v>1</v>
      </c>
      <c r="D133">
        <v>162</v>
      </c>
      <c r="E133">
        <v>4</v>
      </c>
      <c r="F133">
        <v>906</v>
      </c>
      <c r="G133">
        <v>3</v>
      </c>
      <c r="H133">
        <v>3258</v>
      </c>
      <c r="I133">
        <v>2</v>
      </c>
      <c r="J133">
        <v>2</v>
      </c>
      <c r="K133">
        <v>2</v>
      </c>
      <c r="L133">
        <v>1</v>
      </c>
      <c r="M133">
        <v>1</v>
      </c>
      <c r="N133">
        <v>53</v>
      </c>
      <c r="O133">
        <v>10</v>
      </c>
      <c r="P133">
        <v>9</v>
      </c>
      <c r="Q133">
        <v>45</v>
      </c>
    </row>
    <row r="134" spans="1:17" x14ac:dyDescent="0.25">
      <c r="A134">
        <v>133</v>
      </c>
      <c r="B134">
        <v>5136</v>
      </c>
      <c r="C134">
        <v>2</v>
      </c>
      <c r="D134">
        <v>402</v>
      </c>
      <c r="E134">
        <v>4</v>
      </c>
      <c r="F134">
        <v>10800</v>
      </c>
      <c r="G134">
        <v>1</v>
      </c>
      <c r="H134">
        <v>2400</v>
      </c>
      <c r="I134">
        <v>3</v>
      </c>
      <c r="J134">
        <v>6</v>
      </c>
      <c r="K134">
        <v>1</v>
      </c>
      <c r="L134">
        <v>6</v>
      </c>
      <c r="M134">
        <v>1</v>
      </c>
      <c r="N134">
        <v>186</v>
      </c>
      <c r="O134">
        <v>28</v>
      </c>
      <c r="P134">
        <v>187</v>
      </c>
      <c r="Q134">
        <v>22</v>
      </c>
    </row>
    <row r="135" spans="1:17" x14ac:dyDescent="0.25">
      <c r="A135">
        <v>134</v>
      </c>
      <c r="B135">
        <v>1164</v>
      </c>
      <c r="C135">
        <v>4</v>
      </c>
      <c r="D135">
        <v>5782</v>
      </c>
      <c r="E135">
        <v>1</v>
      </c>
      <c r="F135">
        <v>2763</v>
      </c>
      <c r="G135">
        <v>3</v>
      </c>
      <c r="H135">
        <v>4657</v>
      </c>
      <c r="I135">
        <v>2</v>
      </c>
      <c r="J135">
        <v>3</v>
      </c>
      <c r="K135">
        <v>5</v>
      </c>
      <c r="L135">
        <v>1</v>
      </c>
      <c r="M135">
        <v>1</v>
      </c>
      <c r="N135">
        <v>49</v>
      </c>
      <c r="O135">
        <v>73</v>
      </c>
      <c r="P135">
        <v>65</v>
      </c>
      <c r="Q135">
        <v>84</v>
      </c>
    </row>
    <row r="136" spans="1:17" x14ac:dyDescent="0.25">
      <c r="A136">
        <v>135</v>
      </c>
      <c r="B136">
        <v>6485</v>
      </c>
      <c r="C136">
        <v>1</v>
      </c>
      <c r="D136">
        <v>5076</v>
      </c>
      <c r="E136">
        <v>2</v>
      </c>
      <c r="F136">
        <v>4185</v>
      </c>
      <c r="G136">
        <v>3</v>
      </c>
      <c r="H136">
        <v>3295</v>
      </c>
      <c r="I136">
        <v>4</v>
      </c>
      <c r="J136">
        <v>13</v>
      </c>
      <c r="K136">
        <v>6</v>
      </c>
      <c r="L136">
        <v>12</v>
      </c>
      <c r="M136">
        <v>8</v>
      </c>
      <c r="N136">
        <v>134</v>
      </c>
      <c r="O136">
        <v>97</v>
      </c>
      <c r="P136">
        <v>133</v>
      </c>
      <c r="Q136">
        <v>108</v>
      </c>
    </row>
    <row r="137" spans="1:17" x14ac:dyDescent="0.25">
      <c r="A137">
        <v>136</v>
      </c>
      <c r="B137">
        <v>7813</v>
      </c>
      <c r="C137">
        <v>2</v>
      </c>
      <c r="D137">
        <v>1019</v>
      </c>
      <c r="E137">
        <v>4</v>
      </c>
      <c r="F137">
        <v>9824</v>
      </c>
      <c r="G137">
        <v>1</v>
      </c>
      <c r="H137">
        <v>2542</v>
      </c>
      <c r="I137">
        <v>3</v>
      </c>
      <c r="J137">
        <v>6</v>
      </c>
      <c r="K137">
        <v>1</v>
      </c>
      <c r="L137">
        <v>6</v>
      </c>
      <c r="M137">
        <v>1</v>
      </c>
      <c r="N137">
        <v>107</v>
      </c>
      <c r="O137">
        <v>32</v>
      </c>
      <c r="P137">
        <v>107</v>
      </c>
      <c r="Q137">
        <v>29</v>
      </c>
    </row>
    <row r="138" spans="1:17" x14ac:dyDescent="0.25">
      <c r="A138">
        <v>137</v>
      </c>
      <c r="B138">
        <v>635</v>
      </c>
      <c r="C138">
        <v>4</v>
      </c>
      <c r="D138">
        <v>1872</v>
      </c>
      <c r="E138">
        <v>2</v>
      </c>
      <c r="F138">
        <v>21610</v>
      </c>
      <c r="G138">
        <v>1</v>
      </c>
      <c r="H138">
        <v>979</v>
      </c>
      <c r="I138">
        <v>3</v>
      </c>
      <c r="J138">
        <v>4</v>
      </c>
      <c r="K138">
        <v>5</v>
      </c>
      <c r="L138">
        <v>0</v>
      </c>
      <c r="M138">
        <v>48</v>
      </c>
      <c r="N138">
        <v>19</v>
      </c>
      <c r="O138">
        <v>33</v>
      </c>
      <c r="P138">
        <v>42</v>
      </c>
      <c r="Q138">
        <v>22</v>
      </c>
    </row>
    <row r="139" spans="1:17" x14ac:dyDescent="0.25">
      <c r="A139">
        <v>138</v>
      </c>
      <c r="B139">
        <v>6939</v>
      </c>
      <c r="C139">
        <v>1</v>
      </c>
      <c r="D139">
        <v>2500</v>
      </c>
      <c r="E139">
        <v>4</v>
      </c>
      <c r="F139">
        <v>5508</v>
      </c>
      <c r="G139">
        <v>2</v>
      </c>
      <c r="H139">
        <v>4461</v>
      </c>
      <c r="I139">
        <v>3</v>
      </c>
      <c r="J139">
        <v>1</v>
      </c>
      <c r="K139">
        <v>7</v>
      </c>
      <c r="L139">
        <v>7</v>
      </c>
      <c r="M139">
        <v>3</v>
      </c>
      <c r="N139">
        <v>162</v>
      </c>
      <c r="O139">
        <v>91</v>
      </c>
      <c r="P139">
        <v>136</v>
      </c>
      <c r="Q139">
        <v>97</v>
      </c>
    </row>
    <row r="140" spans="1:17" x14ac:dyDescent="0.25">
      <c r="A140">
        <v>139</v>
      </c>
      <c r="B140">
        <v>7459</v>
      </c>
      <c r="C140">
        <v>1</v>
      </c>
      <c r="D140">
        <v>3176</v>
      </c>
      <c r="E140">
        <v>4</v>
      </c>
      <c r="F140">
        <v>5625</v>
      </c>
      <c r="G140">
        <v>2</v>
      </c>
      <c r="H140">
        <v>3678</v>
      </c>
      <c r="I140">
        <v>3</v>
      </c>
      <c r="J140">
        <v>8</v>
      </c>
      <c r="K140">
        <v>6</v>
      </c>
      <c r="L140">
        <v>1</v>
      </c>
      <c r="M140">
        <v>5</v>
      </c>
      <c r="N140">
        <v>112</v>
      </c>
      <c r="O140">
        <v>212</v>
      </c>
      <c r="P140">
        <v>177</v>
      </c>
      <c r="Q140">
        <v>112</v>
      </c>
    </row>
    <row r="141" spans="1:17" x14ac:dyDescent="0.25">
      <c r="A141">
        <v>140</v>
      </c>
      <c r="B141">
        <v>4279</v>
      </c>
      <c r="C141">
        <v>2</v>
      </c>
      <c r="D141">
        <v>41</v>
      </c>
      <c r="E141">
        <v>4</v>
      </c>
      <c r="F141">
        <v>4352</v>
      </c>
      <c r="G141">
        <v>1</v>
      </c>
      <c r="H141">
        <v>594</v>
      </c>
      <c r="I141">
        <v>3</v>
      </c>
      <c r="J141">
        <v>9</v>
      </c>
      <c r="K141">
        <v>1</v>
      </c>
      <c r="L141">
        <v>9</v>
      </c>
      <c r="M141">
        <v>1</v>
      </c>
      <c r="N141">
        <v>185</v>
      </c>
      <c r="O141">
        <v>4</v>
      </c>
      <c r="P141">
        <v>177</v>
      </c>
      <c r="Q141">
        <v>2</v>
      </c>
    </row>
    <row r="142" spans="1:17" x14ac:dyDescent="0.25">
      <c r="A142">
        <v>141</v>
      </c>
      <c r="B142">
        <v>3995</v>
      </c>
      <c r="C142">
        <v>3</v>
      </c>
      <c r="D142">
        <v>6862</v>
      </c>
      <c r="E142">
        <v>1</v>
      </c>
      <c r="F142">
        <v>1123</v>
      </c>
      <c r="G142">
        <v>4</v>
      </c>
      <c r="H142">
        <v>6171</v>
      </c>
      <c r="I142">
        <v>2</v>
      </c>
      <c r="J142">
        <v>15</v>
      </c>
      <c r="K142">
        <v>16</v>
      </c>
      <c r="L142">
        <v>6</v>
      </c>
      <c r="M142">
        <v>3</v>
      </c>
      <c r="N142">
        <v>109</v>
      </c>
      <c r="O142">
        <v>77</v>
      </c>
      <c r="P142">
        <v>33</v>
      </c>
      <c r="Q142">
        <v>37</v>
      </c>
    </row>
    <row r="143" spans="1:17" x14ac:dyDescent="0.25">
      <c r="A143">
        <v>142</v>
      </c>
      <c r="B143">
        <v>8224</v>
      </c>
      <c r="C143">
        <v>1</v>
      </c>
      <c r="D143">
        <v>3165</v>
      </c>
      <c r="E143">
        <v>3</v>
      </c>
      <c r="F143">
        <v>1705</v>
      </c>
      <c r="G143">
        <v>4</v>
      </c>
      <c r="H143">
        <v>7390</v>
      </c>
      <c r="I143">
        <v>2</v>
      </c>
      <c r="J143">
        <v>7</v>
      </c>
      <c r="K143">
        <v>4</v>
      </c>
      <c r="L143">
        <v>4</v>
      </c>
      <c r="M143">
        <v>7</v>
      </c>
      <c r="N143">
        <v>151</v>
      </c>
      <c r="O143">
        <v>66</v>
      </c>
      <c r="P143">
        <v>54</v>
      </c>
      <c r="Q143">
        <v>162</v>
      </c>
    </row>
    <row r="144" spans="1:17" x14ac:dyDescent="0.25">
      <c r="A144">
        <v>143</v>
      </c>
      <c r="B144">
        <v>9113</v>
      </c>
      <c r="C144">
        <v>1</v>
      </c>
      <c r="D144">
        <v>3298</v>
      </c>
      <c r="E144">
        <v>3</v>
      </c>
      <c r="F144">
        <v>3241</v>
      </c>
      <c r="G144">
        <v>4</v>
      </c>
      <c r="H144">
        <v>4814</v>
      </c>
      <c r="I144">
        <v>2</v>
      </c>
      <c r="J144">
        <v>5</v>
      </c>
      <c r="K144">
        <v>11</v>
      </c>
      <c r="L144">
        <v>8</v>
      </c>
      <c r="M144">
        <v>3</v>
      </c>
      <c r="N144">
        <v>143</v>
      </c>
      <c r="O144">
        <v>105</v>
      </c>
      <c r="P144">
        <v>131</v>
      </c>
      <c r="Q144">
        <v>130</v>
      </c>
    </row>
    <row r="145" spans="1:17" x14ac:dyDescent="0.25">
      <c r="A145">
        <v>144</v>
      </c>
      <c r="B145">
        <v>6961</v>
      </c>
      <c r="C145">
        <v>1</v>
      </c>
      <c r="D145">
        <v>4527</v>
      </c>
      <c r="E145">
        <v>3</v>
      </c>
      <c r="F145">
        <v>2288</v>
      </c>
      <c r="G145">
        <v>4</v>
      </c>
      <c r="H145">
        <v>6144</v>
      </c>
      <c r="I145">
        <v>2</v>
      </c>
      <c r="J145">
        <v>5</v>
      </c>
      <c r="K145">
        <v>7</v>
      </c>
      <c r="L145">
        <v>11</v>
      </c>
      <c r="M145">
        <v>9</v>
      </c>
      <c r="N145">
        <v>121</v>
      </c>
      <c r="O145">
        <v>128</v>
      </c>
      <c r="P145">
        <v>117</v>
      </c>
      <c r="Q145">
        <v>112</v>
      </c>
    </row>
    <row r="146" spans="1:17" x14ac:dyDescent="0.25">
      <c r="A146">
        <v>145</v>
      </c>
      <c r="B146">
        <v>6179</v>
      </c>
      <c r="C146">
        <v>1</v>
      </c>
      <c r="D146">
        <v>6149</v>
      </c>
      <c r="E146">
        <v>2</v>
      </c>
      <c r="F146">
        <v>4403</v>
      </c>
      <c r="G146">
        <v>4</v>
      </c>
      <c r="H146">
        <v>5433</v>
      </c>
      <c r="I146">
        <v>3</v>
      </c>
      <c r="J146">
        <v>2</v>
      </c>
      <c r="K146">
        <v>2</v>
      </c>
      <c r="L146">
        <v>2</v>
      </c>
      <c r="M146">
        <v>4</v>
      </c>
      <c r="N146">
        <v>178</v>
      </c>
      <c r="O146">
        <v>194</v>
      </c>
      <c r="P146">
        <v>163</v>
      </c>
      <c r="Q146">
        <v>171</v>
      </c>
    </row>
    <row r="147" spans="1:17" x14ac:dyDescent="0.25">
      <c r="A147">
        <v>146</v>
      </c>
      <c r="B147">
        <v>7387</v>
      </c>
      <c r="C147">
        <v>2</v>
      </c>
      <c r="D147">
        <v>7670</v>
      </c>
      <c r="E147">
        <v>1</v>
      </c>
      <c r="F147">
        <v>3431</v>
      </c>
      <c r="G147">
        <v>3</v>
      </c>
      <c r="H147">
        <v>2978</v>
      </c>
      <c r="I147">
        <v>4</v>
      </c>
      <c r="J147">
        <v>3</v>
      </c>
      <c r="K147">
        <v>3</v>
      </c>
      <c r="L147">
        <v>2</v>
      </c>
      <c r="M147">
        <v>2</v>
      </c>
      <c r="N147">
        <v>148</v>
      </c>
      <c r="O147">
        <v>157</v>
      </c>
      <c r="P147">
        <v>66</v>
      </c>
      <c r="Q147">
        <v>73</v>
      </c>
    </row>
    <row r="148" spans="1:17" x14ac:dyDescent="0.25">
      <c r="A148">
        <v>147</v>
      </c>
      <c r="B148">
        <v>3320</v>
      </c>
      <c r="C148">
        <v>2</v>
      </c>
      <c r="D148">
        <v>5003</v>
      </c>
      <c r="E148">
        <v>1</v>
      </c>
      <c r="F148">
        <v>1230</v>
      </c>
      <c r="G148">
        <v>3</v>
      </c>
      <c r="H148">
        <v>1060</v>
      </c>
      <c r="I148">
        <v>4</v>
      </c>
      <c r="J148">
        <v>6</v>
      </c>
      <c r="K148">
        <v>0</v>
      </c>
      <c r="L148">
        <v>4</v>
      </c>
      <c r="M148">
        <v>0</v>
      </c>
      <c r="N148">
        <v>35</v>
      </c>
      <c r="O148">
        <v>16</v>
      </c>
      <c r="P148">
        <v>36</v>
      </c>
      <c r="Q148">
        <v>15</v>
      </c>
    </row>
    <row r="149" spans="1:17" x14ac:dyDescent="0.25">
      <c r="A149">
        <v>148</v>
      </c>
      <c r="B149">
        <v>5972</v>
      </c>
      <c r="C149">
        <v>2</v>
      </c>
      <c r="D149">
        <v>4399</v>
      </c>
      <c r="E149">
        <v>3</v>
      </c>
      <c r="F149">
        <v>7316</v>
      </c>
      <c r="G149">
        <v>1</v>
      </c>
      <c r="H149">
        <v>4116</v>
      </c>
      <c r="I149">
        <v>4</v>
      </c>
      <c r="J149">
        <v>1</v>
      </c>
      <c r="K149">
        <v>4</v>
      </c>
      <c r="L149">
        <v>1</v>
      </c>
      <c r="M149">
        <v>3</v>
      </c>
      <c r="N149">
        <v>152</v>
      </c>
      <c r="O149">
        <v>124</v>
      </c>
      <c r="P149">
        <v>156</v>
      </c>
      <c r="Q149">
        <v>121</v>
      </c>
    </row>
    <row r="150" spans="1:17" x14ac:dyDescent="0.25">
      <c r="A150">
        <v>149</v>
      </c>
      <c r="B150">
        <v>9587</v>
      </c>
      <c r="C150">
        <v>1</v>
      </c>
      <c r="D150">
        <v>2979</v>
      </c>
      <c r="E150">
        <v>2</v>
      </c>
      <c r="F150">
        <v>1177</v>
      </c>
      <c r="G150">
        <v>4</v>
      </c>
      <c r="H150">
        <v>1509</v>
      </c>
      <c r="I150">
        <v>3</v>
      </c>
      <c r="J150">
        <v>26</v>
      </c>
      <c r="K150">
        <v>25</v>
      </c>
      <c r="L150">
        <v>0</v>
      </c>
      <c r="M150">
        <v>0</v>
      </c>
      <c r="N150">
        <v>141</v>
      </c>
      <c r="O150">
        <v>59</v>
      </c>
      <c r="P150">
        <v>48</v>
      </c>
      <c r="Q150">
        <v>121</v>
      </c>
    </row>
    <row r="151" spans="1:17" x14ac:dyDescent="0.25">
      <c r="A151">
        <v>150</v>
      </c>
      <c r="B151">
        <v>6039</v>
      </c>
      <c r="C151">
        <v>2</v>
      </c>
      <c r="D151">
        <v>4677</v>
      </c>
      <c r="E151">
        <v>3</v>
      </c>
      <c r="F151">
        <v>3079</v>
      </c>
      <c r="G151">
        <v>4</v>
      </c>
      <c r="H151">
        <v>6955</v>
      </c>
      <c r="I151">
        <v>1</v>
      </c>
      <c r="J151">
        <v>6</v>
      </c>
      <c r="K151">
        <v>12</v>
      </c>
      <c r="L151">
        <v>7</v>
      </c>
      <c r="M151">
        <v>4</v>
      </c>
      <c r="N151">
        <v>151</v>
      </c>
      <c r="O151">
        <v>130</v>
      </c>
      <c r="P151">
        <v>128</v>
      </c>
      <c r="Q151">
        <v>155</v>
      </c>
    </row>
    <row r="152" spans="1:17" x14ac:dyDescent="0.25">
      <c r="A152">
        <v>151</v>
      </c>
      <c r="B152">
        <v>9376</v>
      </c>
      <c r="C152">
        <v>1</v>
      </c>
      <c r="D152">
        <v>3983</v>
      </c>
      <c r="E152">
        <v>3</v>
      </c>
      <c r="F152">
        <v>1403</v>
      </c>
      <c r="G152">
        <v>4</v>
      </c>
      <c r="H152">
        <v>4997</v>
      </c>
      <c r="I152">
        <v>2</v>
      </c>
      <c r="J152">
        <v>10</v>
      </c>
      <c r="K152">
        <v>9</v>
      </c>
      <c r="L152">
        <v>9</v>
      </c>
      <c r="M152">
        <v>4</v>
      </c>
      <c r="N152">
        <v>126</v>
      </c>
      <c r="O152">
        <v>85</v>
      </c>
      <c r="P152">
        <v>53</v>
      </c>
      <c r="Q152">
        <v>58</v>
      </c>
    </row>
    <row r="153" spans="1:17" x14ac:dyDescent="0.25">
      <c r="A153">
        <v>152</v>
      </c>
      <c r="B153">
        <v>7300</v>
      </c>
      <c r="C153">
        <v>1</v>
      </c>
      <c r="D153">
        <v>4160</v>
      </c>
      <c r="E153">
        <v>3</v>
      </c>
      <c r="F153">
        <v>4544</v>
      </c>
      <c r="G153">
        <v>2</v>
      </c>
      <c r="H153">
        <v>2513</v>
      </c>
      <c r="I153">
        <v>4</v>
      </c>
      <c r="J153">
        <v>7</v>
      </c>
      <c r="K153">
        <v>12</v>
      </c>
      <c r="L153">
        <v>10</v>
      </c>
      <c r="M153">
        <v>18</v>
      </c>
      <c r="N153">
        <v>128</v>
      </c>
      <c r="O153">
        <v>95</v>
      </c>
      <c r="P153">
        <v>109</v>
      </c>
      <c r="Q153">
        <v>82</v>
      </c>
    </row>
    <row r="154" spans="1:17" x14ac:dyDescent="0.25">
      <c r="A154">
        <v>153</v>
      </c>
      <c r="B154">
        <v>4728</v>
      </c>
      <c r="C154">
        <v>3</v>
      </c>
      <c r="D154">
        <v>4978</v>
      </c>
      <c r="E154">
        <v>2</v>
      </c>
      <c r="F154">
        <v>3951</v>
      </c>
      <c r="G154">
        <v>4</v>
      </c>
      <c r="H154">
        <v>5246</v>
      </c>
      <c r="I154">
        <v>1</v>
      </c>
      <c r="J154">
        <v>11</v>
      </c>
      <c r="K154">
        <v>10</v>
      </c>
      <c r="L154">
        <v>8</v>
      </c>
      <c r="M154">
        <v>7</v>
      </c>
      <c r="N154">
        <v>150</v>
      </c>
      <c r="O154">
        <v>160</v>
      </c>
      <c r="P154">
        <v>136</v>
      </c>
      <c r="Q154">
        <v>131</v>
      </c>
    </row>
    <row r="155" spans="1:17" x14ac:dyDescent="0.25">
      <c r="A155">
        <v>154</v>
      </c>
      <c r="B155">
        <v>1572</v>
      </c>
      <c r="C155">
        <v>4</v>
      </c>
      <c r="D155">
        <v>4035</v>
      </c>
      <c r="E155">
        <v>2</v>
      </c>
      <c r="F155">
        <v>3659</v>
      </c>
      <c r="G155">
        <v>3</v>
      </c>
      <c r="H155">
        <v>8408</v>
      </c>
      <c r="I155">
        <v>1</v>
      </c>
      <c r="J155">
        <v>31</v>
      </c>
      <c r="K155">
        <v>26</v>
      </c>
      <c r="L155">
        <v>10</v>
      </c>
      <c r="M155">
        <v>14</v>
      </c>
      <c r="N155">
        <v>140</v>
      </c>
      <c r="O155">
        <v>145</v>
      </c>
      <c r="P155">
        <v>104</v>
      </c>
      <c r="Q155">
        <v>110</v>
      </c>
    </row>
    <row r="156" spans="1:17" x14ac:dyDescent="0.25">
      <c r="A156">
        <v>155</v>
      </c>
      <c r="B156">
        <v>11663</v>
      </c>
      <c r="C156">
        <v>1</v>
      </c>
      <c r="D156">
        <v>2614</v>
      </c>
      <c r="E156">
        <v>3</v>
      </c>
      <c r="F156">
        <v>6181</v>
      </c>
      <c r="G156">
        <v>2</v>
      </c>
      <c r="H156">
        <v>749</v>
      </c>
      <c r="I156">
        <v>4</v>
      </c>
      <c r="J156">
        <v>2</v>
      </c>
      <c r="K156">
        <v>0</v>
      </c>
      <c r="L156">
        <v>2</v>
      </c>
      <c r="M156">
        <v>0</v>
      </c>
      <c r="N156">
        <v>133</v>
      </c>
      <c r="O156">
        <v>25</v>
      </c>
      <c r="P156">
        <v>134</v>
      </c>
      <c r="Q156">
        <v>22</v>
      </c>
    </row>
    <row r="157" spans="1:17" x14ac:dyDescent="0.25">
      <c r="A157">
        <v>156</v>
      </c>
      <c r="B157">
        <v>3795</v>
      </c>
      <c r="C157">
        <v>4</v>
      </c>
      <c r="D157">
        <v>7136</v>
      </c>
      <c r="E157">
        <v>1</v>
      </c>
      <c r="F157">
        <v>5056</v>
      </c>
      <c r="G157">
        <v>3</v>
      </c>
      <c r="H157">
        <v>5271</v>
      </c>
      <c r="I157">
        <v>2</v>
      </c>
      <c r="J157">
        <v>10</v>
      </c>
      <c r="K157">
        <v>7</v>
      </c>
      <c r="L157">
        <v>9</v>
      </c>
      <c r="M157">
        <v>3</v>
      </c>
      <c r="N157">
        <v>133</v>
      </c>
      <c r="O157">
        <v>138</v>
      </c>
      <c r="P157">
        <v>112</v>
      </c>
      <c r="Q157">
        <v>144</v>
      </c>
    </row>
    <row r="158" spans="1:17" x14ac:dyDescent="0.25">
      <c r="A158">
        <v>157</v>
      </c>
      <c r="B158">
        <v>6374</v>
      </c>
      <c r="C158">
        <v>2</v>
      </c>
      <c r="D158">
        <v>2757</v>
      </c>
      <c r="E158">
        <v>3</v>
      </c>
      <c r="F158">
        <v>9950</v>
      </c>
      <c r="G158">
        <v>1</v>
      </c>
      <c r="H158">
        <v>2345</v>
      </c>
      <c r="I158">
        <v>4</v>
      </c>
      <c r="J158">
        <v>3</v>
      </c>
      <c r="K158">
        <v>8</v>
      </c>
      <c r="L158">
        <v>3</v>
      </c>
      <c r="M158">
        <v>9</v>
      </c>
      <c r="N158">
        <v>136</v>
      </c>
      <c r="O158">
        <v>64</v>
      </c>
      <c r="P158">
        <v>140</v>
      </c>
      <c r="Q158">
        <v>63</v>
      </c>
    </row>
    <row r="159" spans="1:17" x14ac:dyDescent="0.25">
      <c r="A159">
        <v>158</v>
      </c>
      <c r="B159">
        <v>5002</v>
      </c>
      <c r="C159">
        <v>3</v>
      </c>
      <c r="D159">
        <v>5393</v>
      </c>
      <c r="E159">
        <v>1</v>
      </c>
      <c r="F159">
        <v>4615</v>
      </c>
      <c r="G159">
        <v>4</v>
      </c>
      <c r="H159">
        <v>5071</v>
      </c>
      <c r="I159">
        <v>2</v>
      </c>
      <c r="J159">
        <v>8</v>
      </c>
      <c r="K159">
        <v>13</v>
      </c>
      <c r="L159">
        <v>19</v>
      </c>
      <c r="M159">
        <v>11</v>
      </c>
      <c r="N159">
        <v>127</v>
      </c>
      <c r="O159">
        <v>111</v>
      </c>
      <c r="P159">
        <v>119</v>
      </c>
      <c r="Q159">
        <v>131</v>
      </c>
    </row>
    <row r="160" spans="1:17" x14ac:dyDescent="0.25">
      <c r="A160">
        <v>159</v>
      </c>
      <c r="B160">
        <v>10308</v>
      </c>
      <c r="C160">
        <v>1</v>
      </c>
      <c r="D160">
        <v>1570</v>
      </c>
      <c r="E160">
        <v>4</v>
      </c>
      <c r="F160">
        <v>2164</v>
      </c>
      <c r="G160">
        <v>3</v>
      </c>
      <c r="H160">
        <v>3809</v>
      </c>
      <c r="I160">
        <v>2</v>
      </c>
      <c r="J160">
        <v>15</v>
      </c>
      <c r="K160">
        <v>4</v>
      </c>
      <c r="L160">
        <v>2</v>
      </c>
      <c r="M160">
        <v>19</v>
      </c>
      <c r="N160">
        <v>111</v>
      </c>
      <c r="O160">
        <v>48</v>
      </c>
      <c r="P160">
        <v>38</v>
      </c>
      <c r="Q160">
        <v>91</v>
      </c>
    </row>
    <row r="161" spans="1:17" x14ac:dyDescent="0.25">
      <c r="A161">
        <v>160</v>
      </c>
      <c r="B161">
        <v>4428</v>
      </c>
      <c r="C161">
        <v>2</v>
      </c>
      <c r="D161">
        <v>7127</v>
      </c>
      <c r="E161">
        <v>1</v>
      </c>
      <c r="F161">
        <v>3256</v>
      </c>
      <c r="G161">
        <v>3</v>
      </c>
      <c r="H161">
        <v>3155</v>
      </c>
      <c r="I161">
        <v>4</v>
      </c>
      <c r="J161">
        <v>5</v>
      </c>
      <c r="K161">
        <v>7</v>
      </c>
      <c r="L161">
        <v>5</v>
      </c>
      <c r="M161">
        <v>1</v>
      </c>
      <c r="N161">
        <v>256</v>
      </c>
      <c r="O161">
        <v>89</v>
      </c>
      <c r="P161">
        <v>272</v>
      </c>
      <c r="Q161">
        <v>133</v>
      </c>
    </row>
    <row r="162" spans="1:17" x14ac:dyDescent="0.25">
      <c r="A162">
        <v>161</v>
      </c>
      <c r="B162">
        <v>6124</v>
      </c>
      <c r="C162">
        <v>1</v>
      </c>
      <c r="D162">
        <v>5255</v>
      </c>
      <c r="E162">
        <v>3</v>
      </c>
      <c r="F162">
        <v>4748</v>
      </c>
      <c r="G162">
        <v>4</v>
      </c>
      <c r="H162">
        <v>5501</v>
      </c>
      <c r="I162">
        <v>2</v>
      </c>
      <c r="J162">
        <v>3</v>
      </c>
      <c r="K162">
        <v>4</v>
      </c>
      <c r="L162">
        <v>4</v>
      </c>
      <c r="M162">
        <v>5</v>
      </c>
      <c r="N162">
        <v>141</v>
      </c>
      <c r="O162">
        <v>134</v>
      </c>
      <c r="P162">
        <v>145</v>
      </c>
      <c r="Q162">
        <v>132</v>
      </c>
    </row>
    <row r="163" spans="1:17" x14ac:dyDescent="0.25">
      <c r="A163">
        <v>162</v>
      </c>
      <c r="B163">
        <v>4041</v>
      </c>
      <c r="C163">
        <v>2</v>
      </c>
      <c r="D163">
        <v>1188</v>
      </c>
      <c r="E163">
        <v>4</v>
      </c>
      <c r="F163">
        <v>1596</v>
      </c>
      <c r="G163">
        <v>3</v>
      </c>
      <c r="H163">
        <v>4473</v>
      </c>
      <c r="I163">
        <v>1</v>
      </c>
      <c r="J163">
        <v>8</v>
      </c>
      <c r="K163">
        <v>8</v>
      </c>
      <c r="L163">
        <v>1</v>
      </c>
      <c r="M163">
        <v>1</v>
      </c>
      <c r="N163">
        <v>105</v>
      </c>
      <c r="O163">
        <v>102</v>
      </c>
      <c r="P163">
        <v>28</v>
      </c>
      <c r="Q163">
        <v>30</v>
      </c>
    </row>
    <row r="164" spans="1:17" x14ac:dyDescent="0.25">
      <c r="A164">
        <v>163</v>
      </c>
      <c r="B164">
        <v>6589</v>
      </c>
      <c r="C164">
        <v>2</v>
      </c>
      <c r="D164">
        <v>3947</v>
      </c>
      <c r="E164">
        <v>3</v>
      </c>
      <c r="F164">
        <v>8394</v>
      </c>
      <c r="G164">
        <v>1</v>
      </c>
      <c r="H164">
        <v>270</v>
      </c>
      <c r="I164">
        <v>4</v>
      </c>
      <c r="J164">
        <v>5</v>
      </c>
      <c r="K164">
        <v>5</v>
      </c>
      <c r="L164">
        <v>5</v>
      </c>
      <c r="M164">
        <v>6</v>
      </c>
      <c r="N164">
        <v>116</v>
      </c>
      <c r="O164">
        <v>19</v>
      </c>
      <c r="P164">
        <v>121</v>
      </c>
      <c r="Q164">
        <v>17</v>
      </c>
    </row>
    <row r="165" spans="1:17" x14ac:dyDescent="0.25">
      <c r="A165">
        <v>164</v>
      </c>
      <c r="B165">
        <v>5376</v>
      </c>
      <c r="C165">
        <v>3</v>
      </c>
      <c r="D165">
        <v>6129</v>
      </c>
      <c r="E165">
        <v>1</v>
      </c>
      <c r="F165">
        <v>3571</v>
      </c>
      <c r="G165">
        <v>4</v>
      </c>
      <c r="H165">
        <v>5455</v>
      </c>
      <c r="I165">
        <v>2</v>
      </c>
      <c r="J165">
        <v>9</v>
      </c>
      <c r="K165">
        <v>9</v>
      </c>
      <c r="L165">
        <v>8</v>
      </c>
      <c r="M165">
        <v>6</v>
      </c>
      <c r="N165">
        <v>133</v>
      </c>
      <c r="O165">
        <v>142</v>
      </c>
      <c r="P165">
        <v>118</v>
      </c>
      <c r="Q165">
        <v>129</v>
      </c>
    </row>
    <row r="166" spans="1:17" x14ac:dyDescent="0.25">
      <c r="A166">
        <v>165</v>
      </c>
      <c r="B166">
        <v>5715</v>
      </c>
      <c r="C166">
        <v>2</v>
      </c>
      <c r="D166">
        <v>5902</v>
      </c>
      <c r="E166">
        <v>1</v>
      </c>
      <c r="F166">
        <v>5536</v>
      </c>
      <c r="G166">
        <v>3</v>
      </c>
      <c r="H166">
        <v>5316</v>
      </c>
      <c r="I166">
        <v>4</v>
      </c>
      <c r="J166">
        <v>9</v>
      </c>
      <c r="K166">
        <v>9</v>
      </c>
      <c r="L166">
        <v>5</v>
      </c>
      <c r="M166">
        <v>9</v>
      </c>
      <c r="N166">
        <v>147</v>
      </c>
      <c r="O166">
        <v>157</v>
      </c>
      <c r="P166">
        <v>142</v>
      </c>
      <c r="Q166">
        <v>154</v>
      </c>
    </row>
    <row r="167" spans="1:17" x14ac:dyDescent="0.25">
      <c r="A167">
        <v>166</v>
      </c>
      <c r="B167">
        <v>4458</v>
      </c>
      <c r="C167">
        <v>2</v>
      </c>
      <c r="D167">
        <v>3144</v>
      </c>
      <c r="E167">
        <v>4</v>
      </c>
      <c r="F167">
        <v>3260</v>
      </c>
      <c r="G167">
        <v>3</v>
      </c>
      <c r="H167">
        <v>9539</v>
      </c>
      <c r="I167">
        <v>1</v>
      </c>
      <c r="J167">
        <v>9</v>
      </c>
      <c r="K167">
        <v>2</v>
      </c>
      <c r="L167">
        <v>0</v>
      </c>
      <c r="M167">
        <v>7</v>
      </c>
      <c r="N167">
        <v>154</v>
      </c>
      <c r="O167">
        <v>81</v>
      </c>
      <c r="P167">
        <v>68</v>
      </c>
      <c r="Q167">
        <v>166</v>
      </c>
    </row>
    <row r="168" spans="1:17" x14ac:dyDescent="0.25">
      <c r="A168">
        <v>167</v>
      </c>
      <c r="B168">
        <v>4103</v>
      </c>
      <c r="C168">
        <v>2</v>
      </c>
      <c r="D168">
        <v>2733</v>
      </c>
      <c r="E168">
        <v>3</v>
      </c>
      <c r="F168">
        <v>12631</v>
      </c>
      <c r="G168">
        <v>1</v>
      </c>
      <c r="H168">
        <v>1935</v>
      </c>
      <c r="I168">
        <v>4</v>
      </c>
      <c r="J168">
        <v>6</v>
      </c>
      <c r="K168">
        <v>2</v>
      </c>
      <c r="L168">
        <v>5</v>
      </c>
      <c r="M168">
        <v>1</v>
      </c>
      <c r="N168">
        <v>115</v>
      </c>
      <c r="O168">
        <v>109</v>
      </c>
      <c r="P168">
        <v>147</v>
      </c>
      <c r="Q168">
        <v>60</v>
      </c>
    </row>
    <row r="169" spans="1:17" x14ac:dyDescent="0.25">
      <c r="A169">
        <v>168</v>
      </c>
      <c r="B169">
        <v>6037</v>
      </c>
      <c r="C169">
        <v>1</v>
      </c>
      <c r="D169">
        <v>4982</v>
      </c>
      <c r="E169">
        <v>2</v>
      </c>
      <c r="F169">
        <v>4241</v>
      </c>
      <c r="G169">
        <v>4</v>
      </c>
      <c r="H169">
        <v>4379</v>
      </c>
      <c r="I169">
        <v>3</v>
      </c>
      <c r="J169">
        <v>7</v>
      </c>
      <c r="K169">
        <v>3</v>
      </c>
      <c r="L169">
        <v>9</v>
      </c>
      <c r="M169">
        <v>5</v>
      </c>
      <c r="N169">
        <v>150</v>
      </c>
      <c r="O169">
        <v>86</v>
      </c>
      <c r="P169">
        <v>130</v>
      </c>
      <c r="Q169">
        <v>140</v>
      </c>
    </row>
    <row r="170" spans="1:17" x14ac:dyDescent="0.25">
      <c r="A170">
        <v>169</v>
      </c>
      <c r="B170">
        <v>1923</v>
      </c>
      <c r="C170">
        <v>3</v>
      </c>
      <c r="D170">
        <v>6606</v>
      </c>
      <c r="E170">
        <v>1</v>
      </c>
      <c r="F170">
        <v>2811</v>
      </c>
      <c r="G170">
        <v>2</v>
      </c>
      <c r="H170">
        <v>359</v>
      </c>
      <c r="I170">
        <v>4</v>
      </c>
      <c r="J170">
        <v>8</v>
      </c>
      <c r="K170">
        <v>4</v>
      </c>
      <c r="L170">
        <v>7</v>
      </c>
      <c r="M170">
        <v>4</v>
      </c>
      <c r="N170">
        <v>65</v>
      </c>
      <c r="O170">
        <v>20</v>
      </c>
      <c r="P170">
        <v>67</v>
      </c>
      <c r="Q170">
        <v>18</v>
      </c>
    </row>
    <row r="171" spans="1:17" x14ac:dyDescent="0.25">
      <c r="A171">
        <v>170</v>
      </c>
      <c r="B171">
        <v>9143</v>
      </c>
      <c r="C171">
        <v>1</v>
      </c>
      <c r="D171">
        <v>2218</v>
      </c>
      <c r="E171">
        <v>4</v>
      </c>
      <c r="F171">
        <v>8041</v>
      </c>
      <c r="G171">
        <v>2</v>
      </c>
      <c r="H171">
        <v>2546</v>
      </c>
      <c r="I171">
        <v>3</v>
      </c>
      <c r="J171">
        <v>7</v>
      </c>
      <c r="K171">
        <v>4</v>
      </c>
      <c r="L171">
        <v>6</v>
      </c>
      <c r="M171">
        <v>1</v>
      </c>
      <c r="N171">
        <v>136</v>
      </c>
      <c r="O171">
        <v>69</v>
      </c>
      <c r="P171">
        <v>126</v>
      </c>
      <c r="Q171">
        <v>76</v>
      </c>
    </row>
    <row r="172" spans="1:17" x14ac:dyDescent="0.25">
      <c r="A172">
        <v>171</v>
      </c>
      <c r="B172">
        <v>6813</v>
      </c>
      <c r="C172">
        <v>1</v>
      </c>
      <c r="D172">
        <v>6493</v>
      </c>
      <c r="E172">
        <v>2</v>
      </c>
      <c r="F172">
        <v>3144</v>
      </c>
      <c r="G172">
        <v>4</v>
      </c>
      <c r="H172">
        <v>6487</v>
      </c>
      <c r="I172">
        <v>3</v>
      </c>
      <c r="J172">
        <v>6</v>
      </c>
      <c r="K172">
        <v>5</v>
      </c>
      <c r="L172">
        <v>14</v>
      </c>
      <c r="M172">
        <v>1</v>
      </c>
      <c r="N172">
        <v>115</v>
      </c>
      <c r="O172">
        <v>106</v>
      </c>
      <c r="P172">
        <v>107</v>
      </c>
      <c r="Q172">
        <v>121</v>
      </c>
    </row>
    <row r="173" spans="1:17" x14ac:dyDescent="0.25">
      <c r="A173">
        <v>172</v>
      </c>
      <c r="B173">
        <v>17977</v>
      </c>
      <c r="C173">
        <v>1</v>
      </c>
      <c r="D173">
        <v>2817</v>
      </c>
      <c r="E173">
        <v>2</v>
      </c>
      <c r="F173">
        <v>488</v>
      </c>
      <c r="G173">
        <v>4</v>
      </c>
      <c r="H173">
        <v>1302</v>
      </c>
      <c r="I173">
        <v>3</v>
      </c>
      <c r="J173">
        <v>1</v>
      </c>
      <c r="K173">
        <v>2</v>
      </c>
      <c r="L173">
        <v>4</v>
      </c>
      <c r="M173">
        <v>1</v>
      </c>
      <c r="N173">
        <v>60</v>
      </c>
      <c r="O173">
        <v>35</v>
      </c>
      <c r="P173">
        <v>31</v>
      </c>
      <c r="Q173">
        <v>37</v>
      </c>
    </row>
    <row r="174" spans="1:17" x14ac:dyDescent="0.25">
      <c r="A174">
        <v>173</v>
      </c>
      <c r="B174">
        <v>6294</v>
      </c>
      <c r="C174">
        <v>1</v>
      </c>
      <c r="D174">
        <v>6138</v>
      </c>
      <c r="E174">
        <v>2</v>
      </c>
      <c r="F174">
        <v>3111</v>
      </c>
      <c r="G174">
        <v>4</v>
      </c>
      <c r="H174">
        <v>5339</v>
      </c>
      <c r="I174">
        <v>3</v>
      </c>
      <c r="J174">
        <v>1</v>
      </c>
      <c r="K174">
        <v>5</v>
      </c>
      <c r="L174">
        <v>6</v>
      </c>
      <c r="M174">
        <v>4</v>
      </c>
      <c r="N174">
        <v>187</v>
      </c>
      <c r="O174">
        <v>168</v>
      </c>
      <c r="P174">
        <v>156</v>
      </c>
      <c r="Q174">
        <v>181</v>
      </c>
    </row>
    <row r="175" spans="1:17" x14ac:dyDescent="0.25">
      <c r="A175">
        <v>174</v>
      </c>
      <c r="B175">
        <v>7413</v>
      </c>
      <c r="C175">
        <v>2</v>
      </c>
      <c r="D175">
        <v>3593</v>
      </c>
      <c r="E175">
        <v>3</v>
      </c>
      <c r="F175">
        <v>8484</v>
      </c>
      <c r="G175">
        <v>1</v>
      </c>
      <c r="H175">
        <v>631</v>
      </c>
      <c r="I175">
        <v>4</v>
      </c>
      <c r="J175">
        <v>2</v>
      </c>
      <c r="K175">
        <v>2</v>
      </c>
      <c r="L175">
        <v>4</v>
      </c>
      <c r="M175">
        <v>0</v>
      </c>
      <c r="N175">
        <v>155</v>
      </c>
      <c r="O175">
        <v>17</v>
      </c>
      <c r="P175">
        <v>160</v>
      </c>
      <c r="Q175">
        <v>18</v>
      </c>
    </row>
    <row r="176" spans="1:17" x14ac:dyDescent="0.25">
      <c r="A176">
        <v>175</v>
      </c>
      <c r="B176">
        <v>605</v>
      </c>
      <c r="C176">
        <v>2</v>
      </c>
      <c r="D176">
        <v>873</v>
      </c>
      <c r="E176">
        <v>1</v>
      </c>
      <c r="F176">
        <v>398</v>
      </c>
      <c r="G176">
        <v>3</v>
      </c>
      <c r="H176">
        <v>122</v>
      </c>
      <c r="I176">
        <v>4</v>
      </c>
      <c r="J176">
        <v>2</v>
      </c>
      <c r="K176">
        <v>0</v>
      </c>
      <c r="L176">
        <v>2</v>
      </c>
      <c r="M176">
        <v>0</v>
      </c>
      <c r="N176">
        <v>22</v>
      </c>
      <c r="O176">
        <v>11</v>
      </c>
      <c r="P176">
        <v>20</v>
      </c>
      <c r="Q176">
        <v>10</v>
      </c>
    </row>
    <row r="177" spans="1:17" x14ac:dyDescent="0.25">
      <c r="A177">
        <v>176</v>
      </c>
      <c r="B177">
        <v>6121</v>
      </c>
      <c r="C177">
        <v>2</v>
      </c>
      <c r="D177">
        <v>3292</v>
      </c>
      <c r="E177">
        <v>3</v>
      </c>
      <c r="F177">
        <v>8877</v>
      </c>
      <c r="G177">
        <v>1</v>
      </c>
      <c r="H177">
        <v>2585</v>
      </c>
      <c r="I177">
        <v>4</v>
      </c>
      <c r="J177">
        <v>7</v>
      </c>
      <c r="K177">
        <v>12</v>
      </c>
      <c r="L177">
        <v>9</v>
      </c>
      <c r="M177">
        <v>12</v>
      </c>
      <c r="N177">
        <v>136</v>
      </c>
      <c r="O177">
        <v>171</v>
      </c>
      <c r="P177">
        <v>140</v>
      </c>
      <c r="Q177">
        <v>167</v>
      </c>
    </row>
    <row r="178" spans="1:17" x14ac:dyDescent="0.25">
      <c r="A178">
        <v>177</v>
      </c>
      <c r="B178">
        <v>1265</v>
      </c>
      <c r="C178">
        <v>3</v>
      </c>
      <c r="D178">
        <v>6982</v>
      </c>
      <c r="E178">
        <v>1</v>
      </c>
      <c r="F178">
        <v>1294</v>
      </c>
      <c r="G178">
        <v>2</v>
      </c>
      <c r="H178">
        <v>468</v>
      </c>
      <c r="I178">
        <v>4</v>
      </c>
      <c r="J178">
        <v>2</v>
      </c>
      <c r="K178">
        <v>1</v>
      </c>
      <c r="L178">
        <v>2</v>
      </c>
      <c r="M178">
        <v>1</v>
      </c>
      <c r="N178">
        <v>15</v>
      </c>
      <c r="O178">
        <v>15</v>
      </c>
      <c r="P178">
        <v>15</v>
      </c>
      <c r="Q178">
        <v>13</v>
      </c>
    </row>
    <row r="179" spans="1:17" x14ac:dyDescent="0.25">
      <c r="A179">
        <v>178</v>
      </c>
      <c r="B179">
        <v>7081</v>
      </c>
      <c r="C179">
        <v>1</v>
      </c>
      <c r="D179">
        <v>5446</v>
      </c>
      <c r="E179">
        <v>2</v>
      </c>
      <c r="F179">
        <v>4432</v>
      </c>
      <c r="G179">
        <v>4</v>
      </c>
      <c r="H179">
        <v>4971</v>
      </c>
      <c r="I179">
        <v>3</v>
      </c>
      <c r="J179">
        <v>3</v>
      </c>
      <c r="K179">
        <v>4</v>
      </c>
      <c r="L179">
        <v>5</v>
      </c>
      <c r="M179">
        <v>4</v>
      </c>
      <c r="N179">
        <v>143</v>
      </c>
      <c r="O179">
        <v>130</v>
      </c>
      <c r="P179">
        <v>120</v>
      </c>
      <c r="Q179">
        <v>120</v>
      </c>
    </row>
    <row r="180" spans="1:17" x14ac:dyDescent="0.25">
      <c r="A180">
        <v>179</v>
      </c>
      <c r="B180">
        <v>6071</v>
      </c>
      <c r="C180">
        <v>1</v>
      </c>
      <c r="D180">
        <v>1265</v>
      </c>
      <c r="E180">
        <v>3</v>
      </c>
      <c r="F180">
        <v>4492</v>
      </c>
      <c r="G180">
        <v>2</v>
      </c>
      <c r="H180">
        <v>617</v>
      </c>
      <c r="I180">
        <v>4</v>
      </c>
      <c r="J180">
        <v>2</v>
      </c>
      <c r="K180">
        <v>0</v>
      </c>
      <c r="L180">
        <v>2</v>
      </c>
      <c r="M180">
        <v>0</v>
      </c>
      <c r="N180">
        <v>97</v>
      </c>
      <c r="O180">
        <v>18</v>
      </c>
      <c r="P180">
        <v>91</v>
      </c>
      <c r="Q180">
        <v>15</v>
      </c>
    </row>
    <row r="181" spans="1:17" x14ac:dyDescent="0.25">
      <c r="A181">
        <v>180</v>
      </c>
      <c r="B181">
        <v>7856</v>
      </c>
      <c r="C181">
        <v>1</v>
      </c>
      <c r="D181">
        <v>2178</v>
      </c>
      <c r="E181">
        <v>4</v>
      </c>
      <c r="F181">
        <v>3334</v>
      </c>
      <c r="G181">
        <v>3</v>
      </c>
      <c r="H181">
        <v>5768</v>
      </c>
      <c r="I181">
        <v>2</v>
      </c>
      <c r="J181">
        <v>2</v>
      </c>
      <c r="K181">
        <v>4</v>
      </c>
      <c r="L181">
        <v>20</v>
      </c>
      <c r="M181">
        <v>3</v>
      </c>
      <c r="N181">
        <v>154</v>
      </c>
      <c r="O181">
        <v>99</v>
      </c>
      <c r="P181">
        <v>66</v>
      </c>
      <c r="Q181">
        <v>99</v>
      </c>
    </row>
    <row r="182" spans="1:17" x14ac:dyDescent="0.25">
      <c r="A182">
        <v>181</v>
      </c>
      <c r="B182">
        <v>5539</v>
      </c>
      <c r="C182">
        <v>2</v>
      </c>
      <c r="D182">
        <v>1479</v>
      </c>
      <c r="E182">
        <v>3</v>
      </c>
      <c r="F182">
        <v>10388</v>
      </c>
      <c r="G182">
        <v>1</v>
      </c>
      <c r="H182">
        <v>1162</v>
      </c>
      <c r="I182">
        <v>4</v>
      </c>
      <c r="J182">
        <v>5</v>
      </c>
      <c r="K182">
        <v>8</v>
      </c>
      <c r="L182">
        <v>6</v>
      </c>
      <c r="M182">
        <v>11</v>
      </c>
      <c r="N182">
        <v>138</v>
      </c>
      <c r="O182">
        <v>51</v>
      </c>
      <c r="P182">
        <v>149</v>
      </c>
      <c r="Q182">
        <v>41</v>
      </c>
    </row>
    <row r="183" spans="1:17" x14ac:dyDescent="0.25">
      <c r="A183">
        <v>182</v>
      </c>
      <c r="B183">
        <v>9440</v>
      </c>
      <c r="C183">
        <v>1</v>
      </c>
      <c r="D183">
        <v>971</v>
      </c>
      <c r="E183">
        <v>3</v>
      </c>
      <c r="F183">
        <v>140</v>
      </c>
      <c r="G183">
        <v>4</v>
      </c>
      <c r="H183">
        <v>2381</v>
      </c>
      <c r="I183">
        <v>2</v>
      </c>
      <c r="J183">
        <v>37</v>
      </c>
      <c r="K183">
        <v>37</v>
      </c>
      <c r="L183">
        <v>1</v>
      </c>
      <c r="M183">
        <v>1</v>
      </c>
      <c r="N183">
        <v>34</v>
      </c>
      <c r="O183">
        <v>14</v>
      </c>
      <c r="P183">
        <v>6</v>
      </c>
      <c r="Q183">
        <v>6</v>
      </c>
    </row>
    <row r="184" spans="1:17" x14ac:dyDescent="0.25">
      <c r="A184">
        <v>183</v>
      </c>
      <c r="B184">
        <v>8008</v>
      </c>
      <c r="C184">
        <v>2</v>
      </c>
      <c r="D184">
        <v>2396</v>
      </c>
      <c r="E184">
        <v>3</v>
      </c>
      <c r="F184">
        <v>2016</v>
      </c>
      <c r="G184">
        <v>4</v>
      </c>
      <c r="H184">
        <v>8671</v>
      </c>
      <c r="I184">
        <v>1</v>
      </c>
      <c r="J184">
        <v>2</v>
      </c>
      <c r="K184">
        <v>3</v>
      </c>
      <c r="L184">
        <v>1</v>
      </c>
      <c r="M184">
        <v>7</v>
      </c>
      <c r="N184">
        <v>114</v>
      </c>
      <c r="O184">
        <v>58</v>
      </c>
      <c r="P184">
        <v>54</v>
      </c>
      <c r="Q184">
        <v>117</v>
      </c>
    </row>
    <row r="185" spans="1:17" x14ac:dyDescent="0.25">
      <c r="A185">
        <v>184</v>
      </c>
      <c r="B185">
        <v>5353</v>
      </c>
      <c r="C185">
        <v>2</v>
      </c>
      <c r="D185">
        <v>5095</v>
      </c>
      <c r="E185">
        <v>3</v>
      </c>
      <c r="F185">
        <v>6495</v>
      </c>
      <c r="G185">
        <v>1</v>
      </c>
      <c r="H185">
        <v>3595</v>
      </c>
      <c r="I185">
        <v>4</v>
      </c>
      <c r="J185">
        <v>7</v>
      </c>
      <c r="K185">
        <v>8</v>
      </c>
      <c r="L185">
        <v>9</v>
      </c>
      <c r="M185">
        <v>9</v>
      </c>
      <c r="N185">
        <v>142</v>
      </c>
      <c r="O185">
        <v>113</v>
      </c>
      <c r="P185">
        <v>126</v>
      </c>
      <c r="Q185">
        <v>90</v>
      </c>
    </row>
    <row r="186" spans="1:17" x14ac:dyDescent="0.25">
      <c r="A186">
        <v>185</v>
      </c>
      <c r="B186">
        <v>8751</v>
      </c>
      <c r="C186">
        <v>1</v>
      </c>
      <c r="D186">
        <v>1700</v>
      </c>
      <c r="E186">
        <v>4</v>
      </c>
      <c r="F186">
        <v>3892</v>
      </c>
      <c r="G186">
        <v>2</v>
      </c>
      <c r="H186">
        <v>3852</v>
      </c>
      <c r="I186">
        <v>3</v>
      </c>
      <c r="J186">
        <v>11</v>
      </c>
      <c r="K186">
        <v>0</v>
      </c>
      <c r="L186">
        <v>2</v>
      </c>
      <c r="M186">
        <v>10</v>
      </c>
      <c r="N186">
        <v>115</v>
      </c>
      <c r="O186">
        <v>179</v>
      </c>
      <c r="P186">
        <v>184</v>
      </c>
      <c r="Q186">
        <v>69</v>
      </c>
    </row>
    <row r="187" spans="1:17" x14ac:dyDescent="0.25">
      <c r="A187">
        <v>186</v>
      </c>
      <c r="B187">
        <v>2454</v>
      </c>
      <c r="C187">
        <v>4</v>
      </c>
      <c r="D187">
        <v>3032</v>
      </c>
      <c r="E187">
        <v>3</v>
      </c>
      <c r="F187">
        <v>4009</v>
      </c>
      <c r="G187">
        <v>1</v>
      </c>
      <c r="H187">
        <v>3116</v>
      </c>
      <c r="I187">
        <v>2</v>
      </c>
      <c r="J187">
        <v>35</v>
      </c>
      <c r="K187">
        <v>19</v>
      </c>
      <c r="L187">
        <v>31</v>
      </c>
      <c r="M187">
        <v>29</v>
      </c>
      <c r="N187">
        <v>122</v>
      </c>
      <c r="O187">
        <v>123</v>
      </c>
      <c r="P187">
        <v>109</v>
      </c>
      <c r="Q187">
        <v>98</v>
      </c>
    </row>
    <row r="188" spans="1:17" x14ac:dyDescent="0.25">
      <c r="A188">
        <v>187</v>
      </c>
      <c r="B188">
        <v>4068</v>
      </c>
      <c r="C188">
        <v>2</v>
      </c>
      <c r="D188">
        <v>115</v>
      </c>
      <c r="E188">
        <v>4</v>
      </c>
      <c r="F188">
        <v>6327</v>
      </c>
      <c r="G188">
        <v>1</v>
      </c>
      <c r="H188">
        <v>2354</v>
      </c>
      <c r="I188">
        <v>3</v>
      </c>
      <c r="J188">
        <v>7</v>
      </c>
      <c r="K188">
        <v>1</v>
      </c>
      <c r="L188">
        <v>7</v>
      </c>
      <c r="M188">
        <v>1</v>
      </c>
      <c r="N188">
        <v>143</v>
      </c>
      <c r="O188">
        <v>7</v>
      </c>
      <c r="P188">
        <v>139</v>
      </c>
      <c r="Q188">
        <v>5</v>
      </c>
    </row>
    <row r="189" spans="1:17" x14ac:dyDescent="0.25">
      <c r="A189">
        <v>188</v>
      </c>
      <c r="B189">
        <v>6119</v>
      </c>
      <c r="C189">
        <v>1</v>
      </c>
      <c r="D189">
        <v>2230</v>
      </c>
      <c r="E189">
        <v>4</v>
      </c>
      <c r="F189">
        <v>4309</v>
      </c>
      <c r="G189">
        <v>3</v>
      </c>
      <c r="H189">
        <v>4540</v>
      </c>
      <c r="I189">
        <v>2</v>
      </c>
      <c r="J189">
        <v>8</v>
      </c>
      <c r="K189">
        <v>10</v>
      </c>
      <c r="L189">
        <v>4</v>
      </c>
      <c r="M189">
        <v>16</v>
      </c>
      <c r="N189">
        <v>113</v>
      </c>
      <c r="O189">
        <v>71</v>
      </c>
      <c r="P189">
        <v>71</v>
      </c>
      <c r="Q189">
        <v>119</v>
      </c>
    </row>
    <row r="190" spans="1:17" x14ac:dyDescent="0.25">
      <c r="A190">
        <v>189</v>
      </c>
      <c r="B190">
        <v>5574</v>
      </c>
      <c r="C190">
        <v>2</v>
      </c>
      <c r="D190">
        <v>4701</v>
      </c>
      <c r="E190">
        <v>3</v>
      </c>
      <c r="F190">
        <v>7328</v>
      </c>
      <c r="G190">
        <v>1</v>
      </c>
      <c r="H190">
        <v>4295</v>
      </c>
      <c r="I190">
        <v>4</v>
      </c>
      <c r="J190">
        <v>1</v>
      </c>
      <c r="K190">
        <v>3</v>
      </c>
      <c r="L190">
        <v>2</v>
      </c>
      <c r="M190">
        <v>6</v>
      </c>
      <c r="N190">
        <v>151</v>
      </c>
      <c r="O190">
        <v>123</v>
      </c>
      <c r="P190">
        <v>155</v>
      </c>
      <c r="Q190">
        <v>119</v>
      </c>
    </row>
    <row r="191" spans="1:17" x14ac:dyDescent="0.25">
      <c r="A191">
        <v>190</v>
      </c>
      <c r="B191">
        <v>6042</v>
      </c>
      <c r="C191">
        <v>2</v>
      </c>
      <c r="D191">
        <v>6351</v>
      </c>
      <c r="E191">
        <v>1</v>
      </c>
      <c r="F191">
        <v>3645</v>
      </c>
      <c r="G191">
        <v>4</v>
      </c>
      <c r="H191">
        <v>5178</v>
      </c>
      <c r="I191">
        <v>3</v>
      </c>
      <c r="J191">
        <v>7</v>
      </c>
      <c r="K191">
        <v>12</v>
      </c>
      <c r="L191">
        <v>13</v>
      </c>
      <c r="M191">
        <v>10</v>
      </c>
      <c r="N191">
        <v>136</v>
      </c>
      <c r="O191">
        <v>134</v>
      </c>
      <c r="P191">
        <v>118</v>
      </c>
      <c r="Q191">
        <v>134</v>
      </c>
    </row>
    <row r="192" spans="1:17" x14ac:dyDescent="0.25">
      <c r="A192">
        <v>191</v>
      </c>
      <c r="B192">
        <v>6509</v>
      </c>
      <c r="C192">
        <v>1</v>
      </c>
      <c r="D192">
        <v>4462</v>
      </c>
      <c r="E192">
        <v>3</v>
      </c>
      <c r="F192">
        <v>6371</v>
      </c>
      <c r="G192">
        <v>2</v>
      </c>
      <c r="H192">
        <v>3768</v>
      </c>
      <c r="I192">
        <v>4</v>
      </c>
      <c r="J192">
        <v>2</v>
      </c>
      <c r="K192">
        <v>4</v>
      </c>
      <c r="L192">
        <v>2</v>
      </c>
      <c r="M192">
        <v>4</v>
      </c>
      <c r="N192">
        <v>145</v>
      </c>
      <c r="O192">
        <v>95</v>
      </c>
      <c r="P192">
        <v>129</v>
      </c>
      <c r="Q192">
        <v>73</v>
      </c>
    </row>
    <row r="193" spans="1:17" x14ac:dyDescent="0.25">
      <c r="A193">
        <v>192</v>
      </c>
      <c r="B193">
        <v>10543</v>
      </c>
      <c r="C193">
        <v>1</v>
      </c>
      <c r="D193">
        <v>3970</v>
      </c>
      <c r="E193">
        <v>2</v>
      </c>
      <c r="F193">
        <v>2028</v>
      </c>
      <c r="G193">
        <v>4</v>
      </c>
      <c r="H193">
        <v>3007</v>
      </c>
      <c r="I193">
        <v>3</v>
      </c>
      <c r="J193">
        <v>15</v>
      </c>
      <c r="K193">
        <v>23</v>
      </c>
      <c r="L193">
        <v>22</v>
      </c>
      <c r="M193">
        <v>22</v>
      </c>
      <c r="N193">
        <v>91</v>
      </c>
      <c r="O193">
        <v>83</v>
      </c>
      <c r="P193">
        <v>79</v>
      </c>
      <c r="Q193">
        <v>84</v>
      </c>
    </row>
    <row r="194" spans="1:17" x14ac:dyDescent="0.25">
      <c r="A194">
        <v>193</v>
      </c>
      <c r="B194">
        <v>9413</v>
      </c>
      <c r="C194">
        <v>1</v>
      </c>
      <c r="D194">
        <v>1986</v>
      </c>
      <c r="E194">
        <v>4</v>
      </c>
      <c r="F194">
        <v>5946</v>
      </c>
      <c r="G194">
        <v>2</v>
      </c>
      <c r="H194">
        <v>4062</v>
      </c>
      <c r="I194">
        <v>3</v>
      </c>
      <c r="J194">
        <v>13</v>
      </c>
      <c r="K194">
        <v>9</v>
      </c>
      <c r="L194">
        <v>9</v>
      </c>
      <c r="M194">
        <v>6</v>
      </c>
      <c r="N194">
        <v>120</v>
      </c>
      <c r="O194">
        <v>52</v>
      </c>
      <c r="P194">
        <v>95</v>
      </c>
      <c r="Q194">
        <v>77</v>
      </c>
    </row>
    <row r="195" spans="1:17" x14ac:dyDescent="0.25">
      <c r="A195">
        <v>194</v>
      </c>
      <c r="B195">
        <v>8188</v>
      </c>
      <c r="C195">
        <v>1</v>
      </c>
      <c r="D195">
        <v>3430</v>
      </c>
      <c r="E195">
        <v>4</v>
      </c>
      <c r="F195">
        <v>4140</v>
      </c>
      <c r="G195">
        <v>2</v>
      </c>
      <c r="H195">
        <v>4044</v>
      </c>
      <c r="I195">
        <v>3</v>
      </c>
      <c r="J195">
        <v>3</v>
      </c>
      <c r="K195">
        <v>2</v>
      </c>
      <c r="L195">
        <v>0</v>
      </c>
      <c r="M195">
        <v>0</v>
      </c>
      <c r="N195">
        <v>159</v>
      </c>
      <c r="O195">
        <v>303</v>
      </c>
      <c r="P195">
        <v>271</v>
      </c>
      <c r="Q195">
        <v>253</v>
      </c>
    </row>
    <row r="196" spans="1:17" x14ac:dyDescent="0.25">
      <c r="A196">
        <v>195</v>
      </c>
      <c r="B196">
        <v>4780</v>
      </c>
      <c r="C196">
        <v>3</v>
      </c>
      <c r="D196">
        <v>3479</v>
      </c>
      <c r="E196">
        <v>4</v>
      </c>
      <c r="F196">
        <v>4946</v>
      </c>
      <c r="G196">
        <v>2</v>
      </c>
      <c r="H196">
        <v>6940</v>
      </c>
      <c r="I196">
        <v>1</v>
      </c>
      <c r="J196">
        <v>12</v>
      </c>
      <c r="K196">
        <v>13</v>
      </c>
      <c r="L196">
        <v>5</v>
      </c>
      <c r="M196">
        <v>2</v>
      </c>
      <c r="N196">
        <v>121</v>
      </c>
      <c r="O196">
        <v>80</v>
      </c>
      <c r="P196">
        <v>103</v>
      </c>
      <c r="Q196">
        <v>120</v>
      </c>
    </row>
    <row r="197" spans="1:17" x14ac:dyDescent="0.25">
      <c r="A197">
        <v>196</v>
      </c>
      <c r="B197">
        <v>4895</v>
      </c>
      <c r="C197">
        <v>2</v>
      </c>
      <c r="D197">
        <v>3813</v>
      </c>
      <c r="E197">
        <v>4</v>
      </c>
      <c r="F197">
        <v>5055</v>
      </c>
      <c r="G197">
        <v>1</v>
      </c>
      <c r="H197">
        <v>4015</v>
      </c>
      <c r="I197">
        <v>3</v>
      </c>
      <c r="J197">
        <v>11</v>
      </c>
      <c r="K197">
        <v>11</v>
      </c>
      <c r="L197">
        <v>11</v>
      </c>
      <c r="M197">
        <v>6</v>
      </c>
      <c r="N197">
        <v>110</v>
      </c>
      <c r="O197">
        <v>112</v>
      </c>
      <c r="P197">
        <v>133</v>
      </c>
      <c r="Q197">
        <v>97</v>
      </c>
    </row>
    <row r="198" spans="1:17" x14ac:dyDescent="0.25">
      <c r="A198">
        <v>197</v>
      </c>
      <c r="B198">
        <v>5348</v>
      </c>
      <c r="C198">
        <v>3</v>
      </c>
      <c r="D198">
        <v>4214</v>
      </c>
      <c r="E198">
        <v>4</v>
      </c>
      <c r="F198">
        <v>5981</v>
      </c>
      <c r="G198">
        <v>1</v>
      </c>
      <c r="H198">
        <v>5761</v>
      </c>
      <c r="I198">
        <v>2</v>
      </c>
      <c r="J198">
        <v>4</v>
      </c>
      <c r="K198">
        <v>13</v>
      </c>
      <c r="L198">
        <v>7</v>
      </c>
      <c r="M198">
        <v>6</v>
      </c>
      <c r="N198">
        <v>144</v>
      </c>
      <c r="O198">
        <v>135</v>
      </c>
      <c r="P198">
        <v>141</v>
      </c>
      <c r="Q198">
        <v>134</v>
      </c>
    </row>
    <row r="199" spans="1:17" x14ac:dyDescent="0.25">
      <c r="A199">
        <v>198</v>
      </c>
      <c r="B199">
        <v>4701</v>
      </c>
      <c r="C199">
        <v>1</v>
      </c>
      <c r="D199">
        <v>2295</v>
      </c>
      <c r="E199">
        <v>4</v>
      </c>
      <c r="F199">
        <v>4680</v>
      </c>
      <c r="G199">
        <v>2</v>
      </c>
      <c r="H199">
        <v>2551</v>
      </c>
      <c r="I199">
        <v>3</v>
      </c>
      <c r="J199">
        <v>3</v>
      </c>
      <c r="K199">
        <v>0</v>
      </c>
      <c r="L199">
        <v>3</v>
      </c>
      <c r="M199">
        <v>6</v>
      </c>
      <c r="N199">
        <v>52</v>
      </c>
      <c r="O199">
        <v>52</v>
      </c>
      <c r="P199">
        <v>73</v>
      </c>
      <c r="Q199">
        <v>79</v>
      </c>
    </row>
    <row r="200" spans="1:17" x14ac:dyDescent="0.25">
      <c r="A200">
        <v>199</v>
      </c>
      <c r="B200">
        <v>12540</v>
      </c>
      <c r="C200">
        <v>1</v>
      </c>
      <c r="D200">
        <v>1688</v>
      </c>
      <c r="E200">
        <v>3</v>
      </c>
      <c r="F200">
        <v>5167</v>
      </c>
      <c r="G200">
        <v>2</v>
      </c>
      <c r="H200">
        <v>518</v>
      </c>
      <c r="I200">
        <v>4</v>
      </c>
      <c r="J200">
        <v>8</v>
      </c>
      <c r="K200">
        <v>2</v>
      </c>
      <c r="L200">
        <v>9</v>
      </c>
      <c r="M200">
        <v>11</v>
      </c>
      <c r="N200">
        <v>116</v>
      </c>
      <c r="O200">
        <v>25</v>
      </c>
      <c r="P200">
        <v>113</v>
      </c>
      <c r="Q200">
        <v>23</v>
      </c>
    </row>
    <row r="201" spans="1:17" x14ac:dyDescent="0.25">
      <c r="A201">
        <v>200</v>
      </c>
      <c r="B201">
        <v>7225</v>
      </c>
      <c r="C201">
        <v>1</v>
      </c>
      <c r="D201">
        <v>4605</v>
      </c>
      <c r="E201">
        <v>3</v>
      </c>
      <c r="F201">
        <v>1785</v>
      </c>
      <c r="G201">
        <v>4</v>
      </c>
      <c r="H201">
        <v>5066</v>
      </c>
      <c r="I201">
        <v>2</v>
      </c>
      <c r="J201">
        <v>11</v>
      </c>
      <c r="K201">
        <v>9</v>
      </c>
      <c r="L201">
        <v>14</v>
      </c>
      <c r="M201">
        <v>14</v>
      </c>
      <c r="N201">
        <v>114</v>
      </c>
      <c r="O201">
        <v>99</v>
      </c>
      <c r="P201">
        <v>87</v>
      </c>
      <c r="Q201">
        <v>102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97F9-FF82-4F1E-B56D-85D3D90BEA8F}">
  <dimension ref="A1:E39"/>
  <sheetViews>
    <sheetView zoomScale="58" zoomScaleNormal="88" workbookViewId="0">
      <selection activeCell="A31" sqref="A31"/>
    </sheetView>
  </sheetViews>
  <sheetFormatPr baseColWidth="10" defaultRowHeight="15" x14ac:dyDescent="0.25"/>
  <cols>
    <col min="1" max="1" width="24.85546875" bestFit="1" customWidth="1"/>
  </cols>
  <sheetData>
    <row r="1" spans="1:5" x14ac:dyDescent="0.25">
      <c r="A1" t="s">
        <v>4</v>
      </c>
    </row>
    <row r="2" spans="1:5" x14ac:dyDescent="0.25">
      <c r="A2" t="s">
        <v>11</v>
      </c>
      <c r="B2" t="s">
        <v>1</v>
      </c>
      <c r="C2" t="s">
        <v>2</v>
      </c>
      <c r="D2" t="s">
        <v>3</v>
      </c>
    </row>
    <row r="3" spans="1:5" x14ac:dyDescent="0.25">
      <c r="A3">
        <f>AVERAGE('resultats_comparatifs '!B:B)</f>
        <v>6194.9250000000002</v>
      </c>
      <c r="B3">
        <f>AVERAGE('resultats_comparatifs '!D:D)</f>
        <v>3767.355</v>
      </c>
      <c r="C3">
        <f>AVERAGE('resultats_comparatifs '!F:F)</f>
        <v>4630.8900000000003</v>
      </c>
      <c r="D3">
        <f>AVERAGE('resultats_comparatifs '!H:H)</f>
        <v>4310.7250000000004</v>
      </c>
    </row>
    <row r="5" spans="1:5" x14ac:dyDescent="0.25">
      <c r="A5" t="s">
        <v>5</v>
      </c>
    </row>
    <row r="6" spans="1:5" x14ac:dyDescent="0.25">
      <c r="A6" t="s">
        <v>11</v>
      </c>
      <c r="B6" t="s">
        <v>1</v>
      </c>
      <c r="C6" t="s">
        <v>2</v>
      </c>
      <c r="D6" t="s">
        <v>3</v>
      </c>
    </row>
    <row r="7" spans="1:5" x14ac:dyDescent="0.25">
      <c r="A7">
        <f>AVERAGE('resultats_comparatifs '!C:C)</f>
        <v>1.915</v>
      </c>
      <c r="B7">
        <f>AVERAGE('resultats_comparatifs '!E:E)</f>
        <v>2.7450000000000001</v>
      </c>
      <c r="C7">
        <f>AVERAGE('resultats_comparatifs '!G:G)</f>
        <v>2.74</v>
      </c>
      <c r="D7">
        <f>AVERAGE('resultats_comparatifs '!I:I)</f>
        <v>2.6</v>
      </c>
    </row>
    <row r="9" spans="1:5" x14ac:dyDescent="0.25">
      <c r="A9" t="s">
        <v>6</v>
      </c>
    </row>
    <row r="10" spans="1:5" x14ac:dyDescent="0.25">
      <c r="A10" t="s">
        <v>11</v>
      </c>
      <c r="B10" t="s">
        <v>1</v>
      </c>
      <c r="C10" t="s">
        <v>2</v>
      </c>
      <c r="D10" t="s">
        <v>3</v>
      </c>
    </row>
    <row r="11" spans="1:5" x14ac:dyDescent="0.25">
      <c r="A11">
        <f>A3/1000</f>
        <v>6.1949250000000005</v>
      </c>
      <c r="B11">
        <f>B3/1000</f>
        <v>3.7673550000000002</v>
      </c>
      <c r="C11">
        <f>C3/1000</f>
        <v>4.63089</v>
      </c>
      <c r="D11">
        <f>D3/1000</f>
        <v>4.3107250000000006</v>
      </c>
    </row>
    <row r="13" spans="1:5" x14ac:dyDescent="0.25">
      <c r="A13" t="s">
        <v>7</v>
      </c>
    </row>
    <row r="14" spans="1:5" x14ac:dyDescent="0.25">
      <c r="A14" t="s">
        <v>11</v>
      </c>
      <c r="B14" t="s">
        <v>1</v>
      </c>
      <c r="C14" t="s">
        <v>2</v>
      </c>
      <c r="D14" t="s">
        <v>3</v>
      </c>
    </row>
    <row r="15" spans="1:5" x14ac:dyDescent="0.25">
      <c r="A15" s="2">
        <f>COUNTIF('resultats_comparatifs '!C:C, 1) / (COUNTA('resultats_comparatifs '!C:C)-1)</f>
        <v>0.43</v>
      </c>
      <c r="B15" s="2">
        <f>COUNTIF('resultats_comparatifs '!E:E, 1) / (COUNTA('resultats_comparatifs '!E:E)-1)</f>
        <v>0.16500000000000001</v>
      </c>
      <c r="C15" s="2">
        <f>COUNTIF('resultats_comparatifs '!G:G, 1) / (COUNTA('resultats_comparatifs '!G:G)-1)</f>
        <v>0.21</v>
      </c>
      <c r="D15" s="2">
        <f>COUNTIF('resultats_comparatifs '!I:I, 1) / (COUNTA('resultats_comparatifs '!I:I)-1)</f>
        <v>0.19500000000000001</v>
      </c>
      <c r="E15" s="2">
        <f>SUM(A15:D15)</f>
        <v>1</v>
      </c>
    </row>
    <row r="18" spans="1:5" x14ac:dyDescent="0.25">
      <c r="A18" t="s">
        <v>8</v>
      </c>
    </row>
    <row r="19" spans="1:5" x14ac:dyDescent="0.25">
      <c r="A19" t="s">
        <v>11</v>
      </c>
      <c r="B19" t="s">
        <v>1</v>
      </c>
      <c r="C19" t="s">
        <v>2</v>
      </c>
      <c r="D19" t="s">
        <v>3</v>
      </c>
    </row>
    <row r="20" spans="1:5" x14ac:dyDescent="0.25">
      <c r="A20" s="1">
        <f>COUNTIF('resultats_comparatifs '!C:C, 2) / (COUNTA('resultats_comparatifs '!C:C)-1)</f>
        <v>0.32</v>
      </c>
      <c r="B20" s="1">
        <f>COUNTIF('resultats_comparatifs '!E:E, 2) / (COUNTA('resultats_comparatifs '!E:E)-1)</f>
        <v>0.2</v>
      </c>
      <c r="C20" s="1">
        <f>COUNTIF('resultats_comparatifs '!G:G, 2) / (COUNTA('resultats_comparatifs '!G:G)-1)</f>
        <v>0.21</v>
      </c>
      <c r="D20" s="1">
        <f>COUNTIF('resultats_comparatifs '!I:I, 2) / (COUNTA('resultats_comparatifs '!I:I)-1)</f>
        <v>0.27</v>
      </c>
      <c r="E20" s="1">
        <f>SUM(A20:D20)</f>
        <v>1</v>
      </c>
    </row>
    <row r="23" spans="1:5" x14ac:dyDescent="0.25">
      <c r="A23" t="s">
        <v>9</v>
      </c>
    </row>
    <row r="24" spans="1:5" x14ac:dyDescent="0.25">
      <c r="A24" t="s">
        <v>11</v>
      </c>
      <c r="B24" t="s">
        <v>1</v>
      </c>
      <c r="C24" t="s">
        <v>2</v>
      </c>
      <c r="D24" t="s">
        <v>3</v>
      </c>
    </row>
    <row r="25" spans="1:5" x14ac:dyDescent="0.25">
      <c r="A25" s="1">
        <f>COUNTIF('resultats_comparatifs '!C:C, 3) / (COUNTA('resultats_comparatifs '!C:C)-1)</f>
        <v>0.155</v>
      </c>
      <c r="B25" s="1">
        <f>COUNTIF('resultats_comparatifs '!E:E, 3) / (COUNTA('resultats_comparatifs '!E:E)-1)</f>
        <v>0.36</v>
      </c>
      <c r="C25" s="1">
        <f>COUNTIF('resultats_comparatifs '!G:G, 3) / (COUNTA('resultats_comparatifs '!G:G)-1)</f>
        <v>0.21</v>
      </c>
      <c r="D25" s="1">
        <f>COUNTIF('resultats_comparatifs '!I:I, 3) / (COUNTA('resultats_comparatifs '!I:I)-1)</f>
        <v>0.27500000000000002</v>
      </c>
      <c r="E25" s="1">
        <f>SUM(A25:D25)</f>
        <v>1</v>
      </c>
    </row>
    <row r="29" spans="1:5" x14ac:dyDescent="0.25">
      <c r="A29" t="s">
        <v>10</v>
      </c>
    </row>
    <row r="30" spans="1:5" x14ac:dyDescent="0.25">
      <c r="A30" t="s">
        <v>11</v>
      </c>
      <c r="B30" t="s">
        <v>1</v>
      </c>
      <c r="C30" t="s">
        <v>2</v>
      </c>
      <c r="D30" t="s">
        <v>3</v>
      </c>
    </row>
    <row r="31" spans="1:5" x14ac:dyDescent="0.25">
      <c r="A31" s="1">
        <f>COUNTIF('resultats_comparatifs '!C:C, 4) / (COUNTA('resultats_comparatifs '!C:C)-1)</f>
        <v>9.5000000000000001E-2</v>
      </c>
      <c r="B31" s="1">
        <f>COUNTIF('resultats_comparatifs '!E:E, 4) / (COUNTA('resultats_comparatifs '!E:E)-1)</f>
        <v>0.27500000000000002</v>
      </c>
      <c r="C31" s="1">
        <f>COUNTIF('resultats_comparatifs '!G:G, 4) / (COUNTA('resultats_comparatifs '!G:G)-1)</f>
        <v>0.37</v>
      </c>
      <c r="D31" s="1">
        <f>COUNTIF('resultats_comparatifs '!I:I, 4) / (COUNTA('resultats_comparatifs '!I:I)-1)</f>
        <v>0.26</v>
      </c>
      <c r="E31" s="1">
        <f>SUM(A31:D31)</f>
        <v>1</v>
      </c>
    </row>
    <row r="33" spans="1:4" x14ac:dyDescent="0.25">
      <c r="A33" t="s">
        <v>12</v>
      </c>
    </row>
    <row r="34" spans="1:4" x14ac:dyDescent="0.25">
      <c r="A34" t="s">
        <v>11</v>
      </c>
      <c r="B34" t="s">
        <v>1</v>
      </c>
      <c r="C34" t="s">
        <v>2</v>
      </c>
      <c r="D34" t="s">
        <v>3</v>
      </c>
    </row>
    <row r="35" spans="1:4" x14ac:dyDescent="0.25">
      <c r="A35">
        <f>SUM('resultats_comparatifs '!B:B)</f>
        <v>1238985</v>
      </c>
      <c r="B35">
        <f>SUM('resultats_comparatifs '!D:D)</f>
        <v>753471</v>
      </c>
      <c r="C35">
        <f>SUM('resultats_comparatifs '!F:F)</f>
        <v>926178</v>
      </c>
      <c r="D35">
        <f>SUM('resultats_comparatifs '!H:H)</f>
        <v>862145</v>
      </c>
    </row>
    <row r="37" spans="1:4" x14ac:dyDescent="0.25">
      <c r="A37" t="s">
        <v>13</v>
      </c>
    </row>
    <row r="38" spans="1:4" x14ac:dyDescent="0.25">
      <c r="A38" t="s">
        <v>11</v>
      </c>
      <c r="B38" t="s">
        <v>1</v>
      </c>
      <c r="C38" t="s">
        <v>2</v>
      </c>
      <c r="D38" t="s">
        <v>3</v>
      </c>
    </row>
    <row r="39" spans="1:4" x14ac:dyDescent="0.25">
      <c r="A39">
        <f>AVERAGE('resultats_comparatifs '!J:J)</f>
        <v>7.01</v>
      </c>
      <c r="B39">
        <f>AVERAGE('resultats_comparatifs '!K:K)</f>
        <v>6.55</v>
      </c>
      <c r="C39">
        <f>AVERAGE('resultats_comparatifs '!L:L)</f>
        <v>6.4950000000000001</v>
      </c>
      <c r="D39">
        <f>AVERAGE('resultats_comparatifs '!M:M)</f>
        <v>7.08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A2ED-34D1-4A1F-BD29-AFDB56B8C560}">
  <dimension ref="A1:F801"/>
  <sheetViews>
    <sheetView workbookViewId="0">
      <selection activeCell="E9" sqref="E9"/>
    </sheetView>
  </sheetViews>
  <sheetFormatPr baseColWidth="10" defaultRowHeight="15" x14ac:dyDescent="0.25"/>
  <cols>
    <col min="1" max="1" width="12.140625" bestFit="1" customWidth="1"/>
    <col min="2" max="2" width="13" bestFit="1" customWidth="1"/>
    <col min="3" max="3" width="8.42578125" bestFit="1" customWidth="1"/>
    <col min="4" max="4" width="7.7109375" bestFit="1" customWidth="1"/>
    <col min="5" max="5" width="13.85546875" bestFit="1" customWidth="1"/>
    <col min="6" max="6" width="17.7109375" bestFit="1" customWidth="1"/>
  </cols>
  <sheetData>
    <row r="1" spans="1:6" x14ac:dyDescent="0.2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5">
      <c r="A2">
        <v>1</v>
      </c>
      <c r="B2" t="s">
        <v>35</v>
      </c>
      <c r="C2">
        <v>6239</v>
      </c>
      <c r="D2">
        <v>2</v>
      </c>
      <c r="E2">
        <v>8</v>
      </c>
      <c r="F2">
        <v>130</v>
      </c>
    </row>
    <row r="3" spans="1:6" x14ac:dyDescent="0.25">
      <c r="A3">
        <v>1</v>
      </c>
      <c r="B3" t="s">
        <v>36</v>
      </c>
      <c r="C3">
        <v>5912</v>
      </c>
      <c r="D3">
        <v>3</v>
      </c>
      <c r="E3">
        <v>6</v>
      </c>
      <c r="F3">
        <v>163</v>
      </c>
    </row>
    <row r="4" spans="1:6" x14ac:dyDescent="0.25">
      <c r="A4">
        <v>1</v>
      </c>
      <c r="B4">
        <v>3</v>
      </c>
      <c r="C4">
        <v>2989</v>
      </c>
      <c r="D4">
        <v>4</v>
      </c>
      <c r="E4">
        <v>7</v>
      </c>
      <c r="F4">
        <v>153</v>
      </c>
    </row>
    <row r="5" spans="1:6" x14ac:dyDescent="0.25">
      <c r="A5">
        <v>1</v>
      </c>
      <c r="B5">
        <v>4</v>
      </c>
      <c r="C5">
        <v>6749</v>
      </c>
      <c r="D5">
        <v>1</v>
      </c>
      <c r="E5">
        <v>5</v>
      </c>
      <c r="F5">
        <v>148</v>
      </c>
    </row>
    <row r="6" spans="1:6" x14ac:dyDescent="0.25">
      <c r="A6">
        <v>2</v>
      </c>
      <c r="B6" t="s">
        <v>35</v>
      </c>
      <c r="C6">
        <v>5687</v>
      </c>
      <c r="D6">
        <v>3</v>
      </c>
      <c r="E6">
        <v>2</v>
      </c>
      <c r="F6">
        <v>150</v>
      </c>
    </row>
    <row r="7" spans="1:6" x14ac:dyDescent="0.25">
      <c r="A7">
        <v>2</v>
      </c>
      <c r="B7" t="s">
        <v>36</v>
      </c>
      <c r="C7">
        <v>5812</v>
      </c>
      <c r="D7">
        <v>2</v>
      </c>
      <c r="E7">
        <v>4</v>
      </c>
      <c r="F7">
        <v>133</v>
      </c>
    </row>
    <row r="8" spans="1:6" x14ac:dyDescent="0.25">
      <c r="A8">
        <v>2</v>
      </c>
      <c r="B8">
        <v>3</v>
      </c>
      <c r="C8">
        <v>4949</v>
      </c>
      <c r="D8">
        <v>4</v>
      </c>
      <c r="E8">
        <v>1</v>
      </c>
      <c r="F8">
        <v>123</v>
      </c>
    </row>
    <row r="9" spans="1:6" x14ac:dyDescent="0.25">
      <c r="A9">
        <v>2</v>
      </c>
      <c r="B9">
        <v>4</v>
      </c>
      <c r="C9">
        <v>5842</v>
      </c>
      <c r="D9">
        <v>1</v>
      </c>
      <c r="E9">
        <v>9</v>
      </c>
      <c r="F9">
        <v>136</v>
      </c>
    </row>
    <row r="10" spans="1:6" x14ac:dyDescent="0.25">
      <c r="A10">
        <v>3</v>
      </c>
      <c r="B10" t="s">
        <v>35</v>
      </c>
      <c r="C10">
        <v>5673</v>
      </c>
      <c r="D10">
        <v>2</v>
      </c>
      <c r="E10">
        <v>8</v>
      </c>
      <c r="F10">
        <v>191</v>
      </c>
    </row>
    <row r="11" spans="1:6" x14ac:dyDescent="0.25">
      <c r="A11">
        <v>3</v>
      </c>
      <c r="B11" t="s">
        <v>36</v>
      </c>
      <c r="C11">
        <v>5699</v>
      </c>
      <c r="D11">
        <v>1</v>
      </c>
      <c r="E11">
        <v>8</v>
      </c>
      <c r="F11">
        <v>160</v>
      </c>
    </row>
    <row r="12" spans="1:6" x14ac:dyDescent="0.25">
      <c r="A12">
        <v>3</v>
      </c>
      <c r="B12">
        <v>3</v>
      </c>
      <c r="C12">
        <v>3936</v>
      </c>
      <c r="D12">
        <v>4</v>
      </c>
      <c r="E12">
        <v>10</v>
      </c>
      <c r="F12">
        <v>146</v>
      </c>
    </row>
    <row r="13" spans="1:6" x14ac:dyDescent="0.25">
      <c r="A13">
        <v>3</v>
      </c>
      <c r="B13">
        <v>4</v>
      </c>
      <c r="C13">
        <v>4260</v>
      </c>
      <c r="D13">
        <v>3</v>
      </c>
      <c r="E13">
        <v>7</v>
      </c>
      <c r="F13">
        <v>182</v>
      </c>
    </row>
    <row r="14" spans="1:6" x14ac:dyDescent="0.25">
      <c r="A14">
        <v>4</v>
      </c>
      <c r="B14" t="s">
        <v>35</v>
      </c>
      <c r="C14">
        <v>5730</v>
      </c>
      <c r="D14">
        <v>4</v>
      </c>
      <c r="E14">
        <v>3</v>
      </c>
      <c r="F14">
        <v>126</v>
      </c>
    </row>
    <row r="15" spans="1:6" x14ac:dyDescent="0.25">
      <c r="A15">
        <v>4</v>
      </c>
      <c r="B15" t="s">
        <v>36</v>
      </c>
      <c r="C15">
        <v>5740</v>
      </c>
      <c r="D15">
        <v>3</v>
      </c>
      <c r="E15">
        <v>5</v>
      </c>
      <c r="F15">
        <v>125</v>
      </c>
    </row>
    <row r="16" spans="1:6" x14ac:dyDescent="0.25">
      <c r="A16">
        <v>4</v>
      </c>
      <c r="B16">
        <v>3</v>
      </c>
      <c r="C16">
        <v>5782</v>
      </c>
      <c r="D16">
        <v>2</v>
      </c>
      <c r="E16">
        <v>7</v>
      </c>
      <c r="F16">
        <v>114</v>
      </c>
    </row>
    <row r="17" spans="1:6" x14ac:dyDescent="0.25">
      <c r="A17">
        <v>4</v>
      </c>
      <c r="B17">
        <v>4</v>
      </c>
      <c r="C17">
        <v>6078</v>
      </c>
      <c r="D17">
        <v>1</v>
      </c>
      <c r="E17">
        <v>5</v>
      </c>
      <c r="F17">
        <v>124</v>
      </c>
    </row>
    <row r="18" spans="1:6" x14ac:dyDescent="0.25">
      <c r="A18">
        <v>5</v>
      </c>
      <c r="B18" t="s">
        <v>35</v>
      </c>
      <c r="C18">
        <v>12881</v>
      </c>
      <c r="D18">
        <v>1</v>
      </c>
      <c r="E18">
        <v>9</v>
      </c>
      <c r="F18">
        <v>171</v>
      </c>
    </row>
    <row r="19" spans="1:6" x14ac:dyDescent="0.25">
      <c r="A19">
        <v>5</v>
      </c>
      <c r="B19" t="s">
        <v>36</v>
      </c>
      <c r="C19">
        <v>998</v>
      </c>
      <c r="D19">
        <v>3</v>
      </c>
      <c r="E19">
        <v>1</v>
      </c>
      <c r="F19">
        <v>18</v>
      </c>
    </row>
    <row r="20" spans="1:6" x14ac:dyDescent="0.25">
      <c r="A20">
        <v>5</v>
      </c>
      <c r="B20">
        <v>3</v>
      </c>
      <c r="C20">
        <v>4253</v>
      </c>
      <c r="D20">
        <v>2</v>
      </c>
      <c r="E20">
        <v>8</v>
      </c>
      <c r="F20">
        <v>150</v>
      </c>
    </row>
    <row r="21" spans="1:6" x14ac:dyDescent="0.25">
      <c r="A21">
        <v>5</v>
      </c>
      <c r="B21">
        <v>4</v>
      </c>
      <c r="C21">
        <v>503</v>
      </c>
      <c r="D21">
        <v>4</v>
      </c>
      <c r="E21">
        <v>1</v>
      </c>
      <c r="F21">
        <v>18</v>
      </c>
    </row>
    <row r="22" spans="1:6" x14ac:dyDescent="0.25">
      <c r="A22">
        <v>6</v>
      </c>
      <c r="B22" t="s">
        <v>35</v>
      </c>
      <c r="C22">
        <v>5615</v>
      </c>
      <c r="D22">
        <v>1</v>
      </c>
      <c r="E22">
        <v>4</v>
      </c>
      <c r="F22">
        <v>166</v>
      </c>
    </row>
    <row r="23" spans="1:6" x14ac:dyDescent="0.25">
      <c r="A23">
        <v>6</v>
      </c>
      <c r="B23" t="s">
        <v>36</v>
      </c>
      <c r="C23">
        <v>5262</v>
      </c>
      <c r="D23">
        <v>2</v>
      </c>
      <c r="E23">
        <v>11</v>
      </c>
      <c r="F23">
        <v>151</v>
      </c>
    </row>
    <row r="24" spans="1:6" x14ac:dyDescent="0.25">
      <c r="A24">
        <v>6</v>
      </c>
      <c r="B24">
        <v>3</v>
      </c>
      <c r="C24">
        <v>4600</v>
      </c>
      <c r="D24">
        <v>4</v>
      </c>
      <c r="E24">
        <v>6</v>
      </c>
      <c r="F24">
        <v>141</v>
      </c>
    </row>
    <row r="25" spans="1:6" x14ac:dyDescent="0.25">
      <c r="A25">
        <v>6</v>
      </c>
      <c r="B25">
        <v>4</v>
      </c>
      <c r="C25">
        <v>4923</v>
      </c>
      <c r="D25">
        <v>3</v>
      </c>
      <c r="E25">
        <v>10</v>
      </c>
      <c r="F25">
        <v>171</v>
      </c>
    </row>
    <row r="26" spans="1:6" x14ac:dyDescent="0.25">
      <c r="A26">
        <v>7</v>
      </c>
      <c r="B26" t="s">
        <v>35</v>
      </c>
      <c r="C26">
        <v>778</v>
      </c>
      <c r="D26">
        <v>4</v>
      </c>
      <c r="E26">
        <v>1</v>
      </c>
      <c r="F26">
        <v>20</v>
      </c>
    </row>
    <row r="27" spans="1:6" x14ac:dyDescent="0.25">
      <c r="A27">
        <v>7</v>
      </c>
      <c r="B27" t="s">
        <v>36</v>
      </c>
      <c r="C27">
        <v>1755</v>
      </c>
      <c r="D27">
        <v>3</v>
      </c>
      <c r="E27">
        <v>1</v>
      </c>
      <c r="F27">
        <v>39</v>
      </c>
    </row>
    <row r="28" spans="1:6" x14ac:dyDescent="0.25">
      <c r="A28">
        <v>7</v>
      </c>
      <c r="B28">
        <v>3</v>
      </c>
      <c r="C28">
        <v>5273</v>
      </c>
      <c r="D28">
        <v>2</v>
      </c>
      <c r="E28">
        <v>1</v>
      </c>
      <c r="F28">
        <v>42</v>
      </c>
    </row>
    <row r="29" spans="1:6" x14ac:dyDescent="0.25">
      <c r="A29">
        <v>7</v>
      </c>
      <c r="B29">
        <v>4</v>
      </c>
      <c r="C29">
        <v>7013</v>
      </c>
      <c r="D29">
        <v>1</v>
      </c>
      <c r="E29">
        <v>1</v>
      </c>
      <c r="F29">
        <v>52</v>
      </c>
    </row>
    <row r="30" spans="1:6" x14ac:dyDescent="0.25">
      <c r="A30">
        <v>8</v>
      </c>
      <c r="B30" t="s">
        <v>35</v>
      </c>
      <c r="C30">
        <v>11300</v>
      </c>
      <c r="D30">
        <v>1</v>
      </c>
      <c r="E30">
        <v>2</v>
      </c>
      <c r="F30">
        <v>134</v>
      </c>
    </row>
    <row r="31" spans="1:6" x14ac:dyDescent="0.25">
      <c r="A31">
        <v>8</v>
      </c>
      <c r="B31" t="s">
        <v>36</v>
      </c>
      <c r="C31">
        <v>1112</v>
      </c>
      <c r="D31">
        <v>3</v>
      </c>
      <c r="E31">
        <v>0</v>
      </c>
      <c r="F31">
        <v>13</v>
      </c>
    </row>
    <row r="32" spans="1:6" x14ac:dyDescent="0.25">
      <c r="A32">
        <v>8</v>
      </c>
      <c r="B32">
        <v>3</v>
      </c>
      <c r="C32">
        <v>200</v>
      </c>
      <c r="D32">
        <v>4</v>
      </c>
      <c r="E32">
        <v>4</v>
      </c>
      <c r="F32">
        <v>14</v>
      </c>
    </row>
    <row r="33" spans="1:6" x14ac:dyDescent="0.25">
      <c r="A33">
        <v>8</v>
      </c>
      <c r="B33">
        <v>4</v>
      </c>
      <c r="C33">
        <v>10108</v>
      </c>
      <c r="D33">
        <v>2</v>
      </c>
      <c r="E33">
        <v>2</v>
      </c>
      <c r="F33">
        <v>122</v>
      </c>
    </row>
    <row r="34" spans="1:6" x14ac:dyDescent="0.25">
      <c r="A34">
        <v>9</v>
      </c>
      <c r="B34" t="s">
        <v>35</v>
      </c>
      <c r="C34">
        <v>2935</v>
      </c>
      <c r="D34">
        <v>2</v>
      </c>
      <c r="E34">
        <v>3</v>
      </c>
      <c r="F34">
        <v>41</v>
      </c>
    </row>
    <row r="35" spans="1:6" x14ac:dyDescent="0.25">
      <c r="A35">
        <v>9</v>
      </c>
      <c r="B35" t="s">
        <v>36</v>
      </c>
      <c r="C35">
        <v>3169</v>
      </c>
      <c r="D35">
        <v>1</v>
      </c>
      <c r="E35">
        <v>0</v>
      </c>
      <c r="F35">
        <v>7</v>
      </c>
    </row>
    <row r="36" spans="1:6" x14ac:dyDescent="0.25">
      <c r="A36">
        <v>9</v>
      </c>
      <c r="B36">
        <v>3</v>
      </c>
      <c r="C36">
        <v>1701</v>
      </c>
      <c r="D36">
        <v>3</v>
      </c>
      <c r="E36">
        <v>2</v>
      </c>
      <c r="F36">
        <v>45</v>
      </c>
    </row>
    <row r="37" spans="1:6" x14ac:dyDescent="0.25">
      <c r="A37">
        <v>9</v>
      </c>
      <c r="B37">
        <v>4</v>
      </c>
      <c r="C37">
        <v>148</v>
      </c>
      <c r="D37">
        <v>4</v>
      </c>
      <c r="E37">
        <v>0</v>
      </c>
      <c r="F37">
        <v>10</v>
      </c>
    </row>
    <row r="38" spans="1:6" x14ac:dyDescent="0.25">
      <c r="A38">
        <v>10</v>
      </c>
      <c r="B38" t="s">
        <v>35</v>
      </c>
      <c r="C38">
        <v>153</v>
      </c>
      <c r="D38">
        <v>4</v>
      </c>
      <c r="E38">
        <v>2</v>
      </c>
      <c r="F38">
        <v>15</v>
      </c>
    </row>
    <row r="39" spans="1:6" x14ac:dyDescent="0.25">
      <c r="A39">
        <v>10</v>
      </c>
      <c r="B39" t="s">
        <v>36</v>
      </c>
      <c r="C39">
        <v>353</v>
      </c>
      <c r="D39">
        <v>2</v>
      </c>
      <c r="E39">
        <v>2</v>
      </c>
      <c r="F39">
        <v>22</v>
      </c>
    </row>
    <row r="40" spans="1:6" x14ac:dyDescent="0.25">
      <c r="A40">
        <v>10</v>
      </c>
      <c r="B40">
        <v>3</v>
      </c>
      <c r="C40">
        <v>6382</v>
      </c>
      <c r="D40">
        <v>1</v>
      </c>
      <c r="E40">
        <v>0</v>
      </c>
      <c r="F40">
        <v>11</v>
      </c>
    </row>
    <row r="41" spans="1:6" x14ac:dyDescent="0.25">
      <c r="A41">
        <v>10</v>
      </c>
      <c r="B41">
        <v>4</v>
      </c>
      <c r="C41">
        <v>232</v>
      </c>
      <c r="D41">
        <v>3</v>
      </c>
      <c r="E41">
        <v>1</v>
      </c>
      <c r="F41">
        <v>10</v>
      </c>
    </row>
    <row r="42" spans="1:6" x14ac:dyDescent="0.25">
      <c r="A42">
        <v>11</v>
      </c>
      <c r="B42" t="s">
        <v>35</v>
      </c>
      <c r="C42">
        <v>6395</v>
      </c>
      <c r="D42">
        <v>2</v>
      </c>
      <c r="E42">
        <v>7</v>
      </c>
      <c r="F42">
        <v>180</v>
      </c>
    </row>
    <row r="43" spans="1:6" x14ac:dyDescent="0.25">
      <c r="A43">
        <v>11</v>
      </c>
      <c r="B43" t="s">
        <v>36</v>
      </c>
      <c r="C43">
        <v>1376</v>
      </c>
      <c r="D43">
        <v>4</v>
      </c>
      <c r="E43">
        <v>7</v>
      </c>
      <c r="F43">
        <v>157</v>
      </c>
    </row>
    <row r="44" spans="1:6" x14ac:dyDescent="0.25">
      <c r="A44">
        <v>11</v>
      </c>
      <c r="B44">
        <v>3</v>
      </c>
      <c r="C44">
        <v>6498</v>
      </c>
      <c r="D44">
        <v>1</v>
      </c>
      <c r="E44">
        <v>5</v>
      </c>
      <c r="F44">
        <v>189</v>
      </c>
    </row>
    <row r="45" spans="1:6" x14ac:dyDescent="0.25">
      <c r="A45">
        <v>11</v>
      </c>
      <c r="B45">
        <v>4</v>
      </c>
      <c r="C45">
        <v>2970</v>
      </c>
      <c r="D45">
        <v>3</v>
      </c>
      <c r="E45">
        <v>6</v>
      </c>
      <c r="F45">
        <v>108</v>
      </c>
    </row>
    <row r="46" spans="1:6" x14ac:dyDescent="0.25">
      <c r="A46">
        <v>12</v>
      </c>
      <c r="B46" t="s">
        <v>35</v>
      </c>
      <c r="C46">
        <v>3393</v>
      </c>
      <c r="D46">
        <v>3</v>
      </c>
      <c r="E46">
        <v>0</v>
      </c>
      <c r="F46">
        <v>351</v>
      </c>
    </row>
    <row r="47" spans="1:6" x14ac:dyDescent="0.25">
      <c r="A47">
        <v>12</v>
      </c>
      <c r="B47" t="s">
        <v>36</v>
      </c>
      <c r="C47">
        <v>5744</v>
      </c>
      <c r="D47">
        <v>1</v>
      </c>
      <c r="E47">
        <v>1</v>
      </c>
      <c r="F47">
        <v>336</v>
      </c>
    </row>
    <row r="48" spans="1:6" x14ac:dyDescent="0.25">
      <c r="A48">
        <v>12</v>
      </c>
      <c r="B48">
        <v>3</v>
      </c>
      <c r="C48">
        <v>4506</v>
      </c>
      <c r="D48">
        <v>2</v>
      </c>
      <c r="E48">
        <v>0</v>
      </c>
      <c r="F48">
        <v>329</v>
      </c>
    </row>
    <row r="49" spans="1:6" x14ac:dyDescent="0.25">
      <c r="A49">
        <v>12</v>
      </c>
      <c r="B49">
        <v>4</v>
      </c>
      <c r="C49">
        <v>2850</v>
      </c>
      <c r="D49">
        <v>4</v>
      </c>
      <c r="E49">
        <v>1</v>
      </c>
      <c r="F49">
        <v>358</v>
      </c>
    </row>
    <row r="50" spans="1:6" x14ac:dyDescent="0.25">
      <c r="A50">
        <v>13</v>
      </c>
      <c r="B50" t="s">
        <v>35</v>
      </c>
      <c r="C50">
        <v>12319</v>
      </c>
      <c r="D50">
        <v>1</v>
      </c>
      <c r="E50">
        <v>12</v>
      </c>
      <c r="F50">
        <v>123</v>
      </c>
    </row>
    <row r="51" spans="1:6" x14ac:dyDescent="0.25">
      <c r="A51">
        <v>13</v>
      </c>
      <c r="B51" t="s">
        <v>36</v>
      </c>
      <c r="C51">
        <v>813</v>
      </c>
      <c r="D51">
        <v>4</v>
      </c>
      <c r="E51">
        <v>3</v>
      </c>
      <c r="F51">
        <v>31</v>
      </c>
    </row>
    <row r="52" spans="1:6" x14ac:dyDescent="0.25">
      <c r="A52">
        <v>13</v>
      </c>
      <c r="B52">
        <v>3</v>
      </c>
      <c r="C52">
        <v>5015</v>
      </c>
      <c r="D52">
        <v>2</v>
      </c>
      <c r="E52">
        <v>11</v>
      </c>
      <c r="F52">
        <v>105</v>
      </c>
    </row>
    <row r="53" spans="1:6" x14ac:dyDescent="0.25">
      <c r="A53">
        <v>13</v>
      </c>
      <c r="B53">
        <v>4</v>
      </c>
      <c r="C53">
        <v>1109</v>
      </c>
      <c r="D53">
        <v>3</v>
      </c>
      <c r="E53">
        <v>5</v>
      </c>
      <c r="F53">
        <v>28</v>
      </c>
    </row>
    <row r="54" spans="1:6" x14ac:dyDescent="0.25">
      <c r="A54">
        <v>14</v>
      </c>
      <c r="B54" t="s">
        <v>35</v>
      </c>
      <c r="C54">
        <v>7825</v>
      </c>
      <c r="D54">
        <v>1</v>
      </c>
      <c r="E54">
        <v>7</v>
      </c>
      <c r="F54">
        <v>98</v>
      </c>
    </row>
    <row r="55" spans="1:6" x14ac:dyDescent="0.25">
      <c r="A55">
        <v>14</v>
      </c>
      <c r="B55" t="s">
        <v>36</v>
      </c>
      <c r="C55">
        <v>2633</v>
      </c>
      <c r="D55">
        <v>3</v>
      </c>
      <c r="E55">
        <v>4</v>
      </c>
      <c r="F55">
        <v>49</v>
      </c>
    </row>
    <row r="56" spans="1:6" x14ac:dyDescent="0.25">
      <c r="A56">
        <v>14</v>
      </c>
      <c r="B56">
        <v>3</v>
      </c>
      <c r="C56">
        <v>4719</v>
      </c>
      <c r="D56">
        <v>2</v>
      </c>
      <c r="E56">
        <v>7</v>
      </c>
      <c r="F56">
        <v>80</v>
      </c>
    </row>
    <row r="57" spans="1:6" x14ac:dyDescent="0.25">
      <c r="A57">
        <v>14</v>
      </c>
      <c r="B57">
        <v>4</v>
      </c>
      <c r="C57">
        <v>1557</v>
      </c>
      <c r="D57">
        <v>4</v>
      </c>
      <c r="E57">
        <v>6</v>
      </c>
      <c r="F57">
        <v>61</v>
      </c>
    </row>
    <row r="58" spans="1:6" x14ac:dyDescent="0.25">
      <c r="A58">
        <v>15</v>
      </c>
      <c r="B58" t="s">
        <v>35</v>
      </c>
      <c r="C58">
        <v>7365</v>
      </c>
      <c r="D58">
        <v>1</v>
      </c>
      <c r="E58">
        <v>3</v>
      </c>
      <c r="F58">
        <v>174</v>
      </c>
    </row>
    <row r="59" spans="1:6" x14ac:dyDescent="0.25">
      <c r="A59">
        <v>15</v>
      </c>
      <c r="B59" t="s">
        <v>36</v>
      </c>
      <c r="C59">
        <v>3873</v>
      </c>
      <c r="D59">
        <v>3</v>
      </c>
      <c r="E59">
        <v>5</v>
      </c>
      <c r="F59">
        <v>137</v>
      </c>
    </row>
    <row r="60" spans="1:6" x14ac:dyDescent="0.25">
      <c r="A60">
        <v>15</v>
      </c>
      <c r="B60">
        <v>3</v>
      </c>
      <c r="C60">
        <v>5669</v>
      </c>
      <c r="D60">
        <v>2</v>
      </c>
      <c r="E60">
        <v>6</v>
      </c>
      <c r="F60">
        <v>144</v>
      </c>
    </row>
    <row r="61" spans="1:6" x14ac:dyDescent="0.25">
      <c r="A61">
        <v>15</v>
      </c>
      <c r="B61">
        <v>4</v>
      </c>
      <c r="C61">
        <v>3248</v>
      </c>
      <c r="D61">
        <v>4</v>
      </c>
      <c r="E61">
        <v>7</v>
      </c>
      <c r="F61">
        <v>113</v>
      </c>
    </row>
    <row r="62" spans="1:6" x14ac:dyDescent="0.25">
      <c r="A62">
        <v>16</v>
      </c>
      <c r="B62" t="s">
        <v>35</v>
      </c>
      <c r="C62">
        <v>10420</v>
      </c>
      <c r="D62">
        <v>1</v>
      </c>
      <c r="E62">
        <v>14</v>
      </c>
      <c r="F62">
        <v>128</v>
      </c>
    </row>
    <row r="63" spans="1:6" x14ac:dyDescent="0.25">
      <c r="A63">
        <v>16</v>
      </c>
      <c r="B63" t="s">
        <v>36</v>
      </c>
      <c r="C63">
        <v>2293</v>
      </c>
      <c r="D63">
        <v>4</v>
      </c>
      <c r="E63">
        <v>6</v>
      </c>
      <c r="F63">
        <v>60</v>
      </c>
    </row>
    <row r="64" spans="1:6" x14ac:dyDescent="0.25">
      <c r="A64">
        <v>16</v>
      </c>
      <c r="B64">
        <v>3</v>
      </c>
      <c r="C64">
        <v>2608</v>
      </c>
      <c r="D64">
        <v>3</v>
      </c>
      <c r="E64">
        <v>6</v>
      </c>
      <c r="F64">
        <v>72</v>
      </c>
    </row>
    <row r="65" spans="1:6" x14ac:dyDescent="0.25">
      <c r="A65">
        <v>16</v>
      </c>
      <c r="B65">
        <v>4</v>
      </c>
      <c r="C65">
        <v>4320</v>
      </c>
      <c r="D65">
        <v>2</v>
      </c>
      <c r="E65">
        <v>10</v>
      </c>
      <c r="F65">
        <v>110</v>
      </c>
    </row>
    <row r="66" spans="1:6" x14ac:dyDescent="0.25">
      <c r="A66">
        <v>17</v>
      </c>
      <c r="B66" t="s">
        <v>35</v>
      </c>
      <c r="C66">
        <v>5632</v>
      </c>
      <c r="D66">
        <v>2</v>
      </c>
      <c r="E66">
        <v>3</v>
      </c>
      <c r="F66">
        <v>134</v>
      </c>
    </row>
    <row r="67" spans="1:6" x14ac:dyDescent="0.25">
      <c r="A67">
        <v>17</v>
      </c>
      <c r="B67" t="s">
        <v>36</v>
      </c>
      <c r="C67">
        <v>3428</v>
      </c>
      <c r="D67">
        <v>4</v>
      </c>
      <c r="E67">
        <v>2</v>
      </c>
      <c r="F67">
        <v>91</v>
      </c>
    </row>
    <row r="68" spans="1:6" x14ac:dyDescent="0.25">
      <c r="A68">
        <v>17</v>
      </c>
      <c r="B68">
        <v>3</v>
      </c>
      <c r="C68">
        <v>6685</v>
      </c>
      <c r="D68">
        <v>1</v>
      </c>
      <c r="E68">
        <v>2</v>
      </c>
      <c r="F68">
        <v>150</v>
      </c>
    </row>
    <row r="69" spans="1:6" x14ac:dyDescent="0.25">
      <c r="A69">
        <v>17</v>
      </c>
      <c r="B69">
        <v>4</v>
      </c>
      <c r="C69">
        <v>4385</v>
      </c>
      <c r="D69">
        <v>3</v>
      </c>
      <c r="E69">
        <v>3</v>
      </c>
      <c r="F69">
        <v>81</v>
      </c>
    </row>
    <row r="70" spans="1:6" x14ac:dyDescent="0.25">
      <c r="A70">
        <v>18</v>
      </c>
      <c r="B70" t="s">
        <v>35</v>
      </c>
      <c r="C70">
        <v>4779</v>
      </c>
      <c r="D70">
        <v>2</v>
      </c>
      <c r="E70">
        <v>2</v>
      </c>
      <c r="F70">
        <v>177</v>
      </c>
    </row>
    <row r="71" spans="1:6" x14ac:dyDescent="0.25">
      <c r="A71">
        <v>18</v>
      </c>
      <c r="B71" t="s">
        <v>36</v>
      </c>
      <c r="C71">
        <v>4541</v>
      </c>
      <c r="D71">
        <v>4</v>
      </c>
      <c r="E71">
        <v>2</v>
      </c>
      <c r="F71">
        <v>123</v>
      </c>
    </row>
    <row r="72" spans="1:6" x14ac:dyDescent="0.25">
      <c r="A72">
        <v>18</v>
      </c>
      <c r="B72">
        <v>3</v>
      </c>
      <c r="C72">
        <v>6643</v>
      </c>
      <c r="D72">
        <v>1</v>
      </c>
      <c r="E72">
        <v>1</v>
      </c>
      <c r="F72">
        <v>152</v>
      </c>
    </row>
    <row r="73" spans="1:6" x14ac:dyDescent="0.25">
      <c r="A73">
        <v>18</v>
      </c>
      <c r="B73">
        <v>4</v>
      </c>
      <c r="C73">
        <v>4756</v>
      </c>
      <c r="D73">
        <v>3</v>
      </c>
      <c r="E73">
        <v>4</v>
      </c>
      <c r="F73">
        <v>108</v>
      </c>
    </row>
    <row r="74" spans="1:6" x14ac:dyDescent="0.25">
      <c r="A74">
        <v>19</v>
      </c>
      <c r="B74" t="s">
        <v>35</v>
      </c>
      <c r="C74">
        <v>5725</v>
      </c>
      <c r="D74">
        <v>2</v>
      </c>
      <c r="E74">
        <v>4</v>
      </c>
      <c r="F74">
        <v>151</v>
      </c>
    </row>
    <row r="75" spans="1:6" x14ac:dyDescent="0.25">
      <c r="A75">
        <v>19</v>
      </c>
      <c r="B75" t="s">
        <v>36</v>
      </c>
      <c r="C75">
        <v>2178</v>
      </c>
      <c r="D75">
        <v>4</v>
      </c>
      <c r="E75">
        <v>25</v>
      </c>
      <c r="F75">
        <v>143</v>
      </c>
    </row>
    <row r="76" spans="1:6" x14ac:dyDescent="0.25">
      <c r="A76">
        <v>19</v>
      </c>
      <c r="B76">
        <v>3</v>
      </c>
      <c r="C76">
        <v>9394</v>
      </c>
      <c r="D76">
        <v>1</v>
      </c>
      <c r="E76">
        <v>4</v>
      </c>
      <c r="F76">
        <v>135</v>
      </c>
    </row>
    <row r="77" spans="1:6" x14ac:dyDescent="0.25">
      <c r="A77">
        <v>19</v>
      </c>
      <c r="B77">
        <v>4</v>
      </c>
      <c r="C77">
        <v>3461</v>
      </c>
      <c r="D77">
        <v>3</v>
      </c>
      <c r="E77">
        <v>20</v>
      </c>
      <c r="F77">
        <v>157</v>
      </c>
    </row>
    <row r="78" spans="1:6" x14ac:dyDescent="0.25">
      <c r="A78">
        <v>20</v>
      </c>
      <c r="B78" t="s">
        <v>35</v>
      </c>
      <c r="C78">
        <v>6177</v>
      </c>
      <c r="D78">
        <v>2</v>
      </c>
      <c r="E78">
        <v>15</v>
      </c>
      <c r="F78">
        <v>142</v>
      </c>
    </row>
    <row r="79" spans="1:6" x14ac:dyDescent="0.25">
      <c r="A79">
        <v>20</v>
      </c>
      <c r="B79" t="s">
        <v>36</v>
      </c>
      <c r="C79">
        <v>748</v>
      </c>
      <c r="D79">
        <v>4</v>
      </c>
      <c r="E79">
        <v>3</v>
      </c>
      <c r="F79">
        <v>19</v>
      </c>
    </row>
    <row r="80" spans="1:6" x14ac:dyDescent="0.25">
      <c r="A80">
        <v>20</v>
      </c>
      <c r="B80">
        <v>3</v>
      </c>
      <c r="C80">
        <v>7924</v>
      </c>
      <c r="D80">
        <v>1</v>
      </c>
      <c r="E80">
        <v>14</v>
      </c>
      <c r="F80">
        <v>141</v>
      </c>
    </row>
    <row r="81" spans="1:6" x14ac:dyDescent="0.25">
      <c r="A81">
        <v>20</v>
      </c>
      <c r="B81">
        <v>4</v>
      </c>
      <c r="C81">
        <v>1138</v>
      </c>
      <c r="D81">
        <v>3</v>
      </c>
      <c r="E81">
        <v>6</v>
      </c>
      <c r="F81">
        <v>16</v>
      </c>
    </row>
    <row r="82" spans="1:6" x14ac:dyDescent="0.25">
      <c r="A82">
        <v>21</v>
      </c>
      <c r="B82" t="s">
        <v>35</v>
      </c>
      <c r="C82">
        <v>7174</v>
      </c>
      <c r="D82">
        <v>2</v>
      </c>
      <c r="E82">
        <v>3</v>
      </c>
      <c r="F82">
        <v>157</v>
      </c>
    </row>
    <row r="83" spans="1:6" x14ac:dyDescent="0.25">
      <c r="A83">
        <v>21</v>
      </c>
      <c r="B83" t="s">
        <v>36</v>
      </c>
      <c r="C83">
        <v>846</v>
      </c>
      <c r="D83">
        <v>4</v>
      </c>
      <c r="E83">
        <v>0</v>
      </c>
      <c r="F83">
        <v>30</v>
      </c>
    </row>
    <row r="84" spans="1:6" x14ac:dyDescent="0.25">
      <c r="A84">
        <v>21</v>
      </c>
      <c r="B84">
        <v>3</v>
      </c>
      <c r="C84">
        <v>11481</v>
      </c>
      <c r="D84">
        <v>1</v>
      </c>
      <c r="E84">
        <v>2</v>
      </c>
      <c r="F84">
        <v>153</v>
      </c>
    </row>
    <row r="85" spans="1:6" x14ac:dyDescent="0.25">
      <c r="A85">
        <v>21</v>
      </c>
      <c r="B85">
        <v>4</v>
      </c>
      <c r="C85">
        <v>1134</v>
      </c>
      <c r="D85">
        <v>3</v>
      </c>
      <c r="E85">
        <v>0</v>
      </c>
      <c r="F85">
        <v>29</v>
      </c>
    </row>
    <row r="86" spans="1:6" x14ac:dyDescent="0.25">
      <c r="A86">
        <v>22</v>
      </c>
      <c r="B86" t="s">
        <v>35</v>
      </c>
      <c r="C86">
        <v>6509</v>
      </c>
      <c r="D86">
        <v>2</v>
      </c>
      <c r="E86">
        <v>12</v>
      </c>
      <c r="F86">
        <v>107</v>
      </c>
    </row>
    <row r="87" spans="1:6" x14ac:dyDescent="0.25">
      <c r="A87">
        <v>22</v>
      </c>
      <c r="B87" t="s">
        <v>36</v>
      </c>
      <c r="C87">
        <v>2213</v>
      </c>
      <c r="D87">
        <v>4</v>
      </c>
      <c r="E87">
        <v>13</v>
      </c>
      <c r="F87">
        <v>74</v>
      </c>
    </row>
    <row r="88" spans="1:6" x14ac:dyDescent="0.25">
      <c r="A88">
        <v>22</v>
      </c>
      <c r="B88">
        <v>3</v>
      </c>
      <c r="C88">
        <v>4592</v>
      </c>
      <c r="D88">
        <v>3</v>
      </c>
      <c r="E88">
        <v>9</v>
      </c>
      <c r="F88">
        <v>118</v>
      </c>
    </row>
    <row r="89" spans="1:6" x14ac:dyDescent="0.25">
      <c r="A89">
        <v>22</v>
      </c>
      <c r="B89">
        <v>4</v>
      </c>
      <c r="C89">
        <v>6546</v>
      </c>
      <c r="D89">
        <v>1</v>
      </c>
      <c r="E89">
        <v>7</v>
      </c>
      <c r="F89">
        <v>107</v>
      </c>
    </row>
    <row r="90" spans="1:6" x14ac:dyDescent="0.25">
      <c r="A90">
        <v>23</v>
      </c>
      <c r="B90" t="s">
        <v>35</v>
      </c>
      <c r="C90">
        <v>12327</v>
      </c>
      <c r="D90">
        <v>1</v>
      </c>
      <c r="E90">
        <v>16</v>
      </c>
      <c r="F90">
        <v>122</v>
      </c>
    </row>
    <row r="91" spans="1:6" x14ac:dyDescent="0.25">
      <c r="A91">
        <v>23</v>
      </c>
      <c r="B91" t="s">
        <v>36</v>
      </c>
      <c r="C91">
        <v>1795</v>
      </c>
      <c r="D91">
        <v>4</v>
      </c>
      <c r="E91">
        <v>10</v>
      </c>
      <c r="F91">
        <v>60</v>
      </c>
    </row>
    <row r="92" spans="1:6" x14ac:dyDescent="0.25">
      <c r="A92">
        <v>23</v>
      </c>
      <c r="B92">
        <v>3</v>
      </c>
      <c r="C92">
        <v>2589</v>
      </c>
      <c r="D92">
        <v>2</v>
      </c>
      <c r="E92">
        <v>16</v>
      </c>
      <c r="F92">
        <v>107</v>
      </c>
    </row>
    <row r="93" spans="1:6" x14ac:dyDescent="0.25">
      <c r="A93">
        <v>23</v>
      </c>
      <c r="B93">
        <v>4</v>
      </c>
      <c r="C93">
        <v>1994</v>
      </c>
      <c r="D93">
        <v>3</v>
      </c>
      <c r="E93">
        <v>11</v>
      </c>
      <c r="F93">
        <v>83</v>
      </c>
    </row>
    <row r="94" spans="1:6" x14ac:dyDescent="0.25">
      <c r="A94">
        <v>24</v>
      </c>
      <c r="B94" t="s">
        <v>35</v>
      </c>
      <c r="C94">
        <v>9557</v>
      </c>
      <c r="D94">
        <v>1</v>
      </c>
      <c r="E94">
        <v>3</v>
      </c>
      <c r="F94">
        <v>170</v>
      </c>
    </row>
    <row r="95" spans="1:6" x14ac:dyDescent="0.25">
      <c r="A95">
        <v>24</v>
      </c>
      <c r="B95" t="s">
        <v>36</v>
      </c>
      <c r="C95">
        <v>1833</v>
      </c>
      <c r="D95">
        <v>3</v>
      </c>
      <c r="E95">
        <v>1</v>
      </c>
      <c r="F95">
        <v>37</v>
      </c>
    </row>
    <row r="96" spans="1:6" x14ac:dyDescent="0.25">
      <c r="A96">
        <v>24</v>
      </c>
      <c r="B96">
        <v>3</v>
      </c>
      <c r="C96">
        <v>6431</v>
      </c>
      <c r="D96">
        <v>2</v>
      </c>
      <c r="E96">
        <v>4</v>
      </c>
      <c r="F96">
        <v>166</v>
      </c>
    </row>
    <row r="97" spans="1:6" x14ac:dyDescent="0.25">
      <c r="A97">
        <v>24</v>
      </c>
      <c r="B97">
        <v>4</v>
      </c>
      <c r="C97">
        <v>832</v>
      </c>
      <c r="D97">
        <v>4</v>
      </c>
      <c r="E97">
        <v>0</v>
      </c>
      <c r="F97">
        <v>32</v>
      </c>
    </row>
    <row r="98" spans="1:6" x14ac:dyDescent="0.25">
      <c r="A98">
        <v>25</v>
      </c>
      <c r="B98" t="s">
        <v>35</v>
      </c>
      <c r="C98">
        <v>6306</v>
      </c>
      <c r="D98">
        <v>1</v>
      </c>
      <c r="E98">
        <v>3</v>
      </c>
      <c r="F98">
        <v>141</v>
      </c>
    </row>
    <row r="99" spans="1:6" x14ac:dyDescent="0.25">
      <c r="A99">
        <v>25</v>
      </c>
      <c r="B99" t="s">
        <v>36</v>
      </c>
      <c r="C99">
        <v>4827</v>
      </c>
      <c r="D99">
        <v>3</v>
      </c>
      <c r="E99">
        <v>11</v>
      </c>
      <c r="F99">
        <v>131</v>
      </c>
    </row>
    <row r="100" spans="1:6" x14ac:dyDescent="0.25">
      <c r="A100">
        <v>25</v>
      </c>
      <c r="B100">
        <v>3</v>
      </c>
      <c r="C100">
        <v>5721</v>
      </c>
      <c r="D100">
        <v>2</v>
      </c>
      <c r="E100">
        <v>4</v>
      </c>
      <c r="F100">
        <v>139</v>
      </c>
    </row>
    <row r="101" spans="1:6" x14ac:dyDescent="0.25">
      <c r="A101">
        <v>25</v>
      </c>
      <c r="B101">
        <v>4</v>
      </c>
      <c r="C101">
        <v>4613</v>
      </c>
      <c r="D101">
        <v>4</v>
      </c>
      <c r="E101">
        <v>8</v>
      </c>
      <c r="F101">
        <v>126</v>
      </c>
    </row>
    <row r="102" spans="1:6" x14ac:dyDescent="0.25">
      <c r="A102">
        <v>26</v>
      </c>
      <c r="B102" t="s">
        <v>35</v>
      </c>
      <c r="C102">
        <v>5914</v>
      </c>
      <c r="D102">
        <v>2</v>
      </c>
      <c r="E102">
        <v>4</v>
      </c>
      <c r="F102">
        <v>155</v>
      </c>
    </row>
    <row r="103" spans="1:6" x14ac:dyDescent="0.25">
      <c r="A103">
        <v>26</v>
      </c>
      <c r="B103" t="s">
        <v>36</v>
      </c>
      <c r="C103">
        <v>5958</v>
      </c>
      <c r="D103">
        <v>1</v>
      </c>
      <c r="E103">
        <v>4</v>
      </c>
      <c r="F103">
        <v>161</v>
      </c>
    </row>
    <row r="104" spans="1:6" x14ac:dyDescent="0.25">
      <c r="A104">
        <v>26</v>
      </c>
      <c r="B104">
        <v>3</v>
      </c>
      <c r="C104">
        <v>4145</v>
      </c>
      <c r="D104">
        <v>4</v>
      </c>
      <c r="E104">
        <v>4</v>
      </c>
      <c r="F104">
        <v>150</v>
      </c>
    </row>
    <row r="105" spans="1:6" x14ac:dyDescent="0.25">
      <c r="A105">
        <v>26</v>
      </c>
      <c r="B105">
        <v>4</v>
      </c>
      <c r="C105">
        <v>5882</v>
      </c>
      <c r="D105">
        <v>3</v>
      </c>
      <c r="E105">
        <v>5</v>
      </c>
      <c r="F105">
        <v>162</v>
      </c>
    </row>
    <row r="106" spans="1:6" x14ac:dyDescent="0.25">
      <c r="A106">
        <v>27</v>
      </c>
      <c r="B106" t="s">
        <v>35</v>
      </c>
      <c r="C106">
        <v>4689</v>
      </c>
      <c r="D106">
        <v>4</v>
      </c>
      <c r="E106">
        <v>6</v>
      </c>
      <c r="F106">
        <v>142</v>
      </c>
    </row>
    <row r="107" spans="1:6" x14ac:dyDescent="0.25">
      <c r="A107">
        <v>27</v>
      </c>
      <c r="B107" t="s">
        <v>36</v>
      </c>
      <c r="C107">
        <v>4764</v>
      </c>
      <c r="D107">
        <v>3</v>
      </c>
      <c r="E107">
        <v>8</v>
      </c>
      <c r="F107">
        <v>112</v>
      </c>
    </row>
    <row r="108" spans="1:6" x14ac:dyDescent="0.25">
      <c r="A108">
        <v>27</v>
      </c>
      <c r="B108">
        <v>3</v>
      </c>
      <c r="C108">
        <v>6994</v>
      </c>
      <c r="D108">
        <v>1</v>
      </c>
      <c r="E108">
        <v>5</v>
      </c>
      <c r="F108">
        <v>127</v>
      </c>
    </row>
    <row r="109" spans="1:6" x14ac:dyDescent="0.25">
      <c r="A109">
        <v>27</v>
      </c>
      <c r="B109">
        <v>4</v>
      </c>
      <c r="C109">
        <v>4776</v>
      </c>
      <c r="D109">
        <v>2</v>
      </c>
      <c r="E109">
        <v>10</v>
      </c>
      <c r="F109">
        <v>99</v>
      </c>
    </row>
    <row r="110" spans="1:6" x14ac:dyDescent="0.25">
      <c r="A110">
        <v>28</v>
      </c>
      <c r="B110" t="s">
        <v>35</v>
      </c>
      <c r="C110">
        <v>9535</v>
      </c>
      <c r="D110">
        <v>1</v>
      </c>
      <c r="E110">
        <v>6</v>
      </c>
      <c r="F110">
        <v>119</v>
      </c>
    </row>
    <row r="111" spans="1:6" x14ac:dyDescent="0.25">
      <c r="A111">
        <v>28</v>
      </c>
      <c r="B111" t="s">
        <v>36</v>
      </c>
      <c r="C111">
        <v>3715</v>
      </c>
      <c r="D111">
        <v>3</v>
      </c>
      <c r="E111">
        <v>8</v>
      </c>
      <c r="F111">
        <v>95</v>
      </c>
    </row>
    <row r="112" spans="1:6" x14ac:dyDescent="0.25">
      <c r="A112">
        <v>28</v>
      </c>
      <c r="B112">
        <v>3</v>
      </c>
      <c r="C112">
        <v>4009</v>
      </c>
      <c r="D112">
        <v>2</v>
      </c>
      <c r="E112">
        <v>6</v>
      </c>
      <c r="F112">
        <v>95</v>
      </c>
    </row>
    <row r="113" spans="1:6" x14ac:dyDescent="0.25">
      <c r="A113">
        <v>28</v>
      </c>
      <c r="B113">
        <v>4</v>
      </c>
      <c r="C113">
        <v>3311</v>
      </c>
      <c r="D113">
        <v>4</v>
      </c>
      <c r="E113">
        <v>11</v>
      </c>
      <c r="F113">
        <v>82</v>
      </c>
    </row>
    <row r="114" spans="1:6" x14ac:dyDescent="0.25">
      <c r="A114">
        <v>29</v>
      </c>
      <c r="B114" t="s">
        <v>35</v>
      </c>
      <c r="C114">
        <v>3639</v>
      </c>
      <c r="D114">
        <v>2</v>
      </c>
      <c r="E114">
        <v>5</v>
      </c>
      <c r="F114">
        <v>48</v>
      </c>
    </row>
    <row r="115" spans="1:6" x14ac:dyDescent="0.25">
      <c r="A115">
        <v>29</v>
      </c>
      <c r="B115" t="s">
        <v>36</v>
      </c>
      <c r="C115">
        <v>1735</v>
      </c>
      <c r="D115">
        <v>3</v>
      </c>
      <c r="E115">
        <v>2</v>
      </c>
      <c r="F115">
        <v>50</v>
      </c>
    </row>
    <row r="116" spans="1:6" x14ac:dyDescent="0.25">
      <c r="A116">
        <v>29</v>
      </c>
      <c r="B116">
        <v>3</v>
      </c>
      <c r="C116">
        <v>1008</v>
      </c>
      <c r="D116">
        <v>4</v>
      </c>
      <c r="E116">
        <v>3</v>
      </c>
      <c r="F116">
        <v>47</v>
      </c>
    </row>
    <row r="117" spans="1:6" x14ac:dyDescent="0.25">
      <c r="A117">
        <v>29</v>
      </c>
      <c r="B117">
        <v>4</v>
      </c>
      <c r="C117">
        <v>6521</v>
      </c>
      <c r="D117">
        <v>1</v>
      </c>
      <c r="E117">
        <v>3</v>
      </c>
      <c r="F117">
        <v>58</v>
      </c>
    </row>
    <row r="118" spans="1:6" x14ac:dyDescent="0.25">
      <c r="A118">
        <v>30</v>
      </c>
      <c r="B118" t="s">
        <v>35</v>
      </c>
      <c r="C118">
        <v>2907</v>
      </c>
      <c r="D118">
        <v>2</v>
      </c>
      <c r="E118">
        <v>2</v>
      </c>
      <c r="F118">
        <v>45</v>
      </c>
    </row>
    <row r="119" spans="1:6" x14ac:dyDescent="0.25">
      <c r="A119">
        <v>30</v>
      </c>
      <c r="B119" t="s">
        <v>36</v>
      </c>
      <c r="C119">
        <v>1434</v>
      </c>
      <c r="D119">
        <v>3</v>
      </c>
      <c r="E119">
        <v>0</v>
      </c>
      <c r="F119">
        <v>10</v>
      </c>
    </row>
    <row r="120" spans="1:6" x14ac:dyDescent="0.25">
      <c r="A120">
        <v>30</v>
      </c>
      <c r="B120">
        <v>3</v>
      </c>
      <c r="C120">
        <v>208</v>
      </c>
      <c r="D120">
        <v>4</v>
      </c>
      <c r="E120">
        <v>0</v>
      </c>
      <c r="F120">
        <v>9</v>
      </c>
    </row>
    <row r="121" spans="1:6" x14ac:dyDescent="0.25">
      <c r="A121">
        <v>30</v>
      </c>
      <c r="B121">
        <v>4</v>
      </c>
      <c r="C121">
        <v>4321</v>
      </c>
      <c r="D121">
        <v>1</v>
      </c>
      <c r="E121">
        <v>2</v>
      </c>
      <c r="F121">
        <v>54</v>
      </c>
    </row>
    <row r="122" spans="1:6" x14ac:dyDescent="0.25">
      <c r="A122">
        <v>31</v>
      </c>
      <c r="B122" t="s">
        <v>35</v>
      </c>
      <c r="C122">
        <v>4358</v>
      </c>
      <c r="D122">
        <v>2</v>
      </c>
      <c r="E122">
        <v>1</v>
      </c>
      <c r="F122">
        <v>181</v>
      </c>
    </row>
    <row r="123" spans="1:6" x14ac:dyDescent="0.25">
      <c r="A123">
        <v>31</v>
      </c>
      <c r="B123" t="s">
        <v>36</v>
      </c>
      <c r="C123">
        <v>1371</v>
      </c>
      <c r="D123">
        <v>3</v>
      </c>
      <c r="E123">
        <v>32</v>
      </c>
      <c r="F123">
        <v>177</v>
      </c>
    </row>
    <row r="124" spans="1:6" x14ac:dyDescent="0.25">
      <c r="A124">
        <v>31</v>
      </c>
      <c r="B124">
        <v>3</v>
      </c>
      <c r="C124">
        <v>11975</v>
      </c>
      <c r="D124">
        <v>1</v>
      </c>
      <c r="E124">
        <v>0</v>
      </c>
      <c r="F124">
        <v>179</v>
      </c>
    </row>
    <row r="125" spans="1:6" x14ac:dyDescent="0.25">
      <c r="A125">
        <v>31</v>
      </c>
      <c r="B125">
        <v>4</v>
      </c>
      <c r="C125">
        <v>1201</v>
      </c>
      <c r="D125">
        <v>4</v>
      </c>
      <c r="E125">
        <v>31</v>
      </c>
      <c r="F125">
        <v>175</v>
      </c>
    </row>
    <row r="126" spans="1:6" x14ac:dyDescent="0.25">
      <c r="A126">
        <v>32</v>
      </c>
      <c r="B126" t="s">
        <v>35</v>
      </c>
      <c r="C126">
        <v>5068</v>
      </c>
      <c r="D126">
        <v>3</v>
      </c>
      <c r="E126">
        <v>7</v>
      </c>
      <c r="F126">
        <v>145</v>
      </c>
    </row>
    <row r="127" spans="1:6" x14ac:dyDescent="0.25">
      <c r="A127">
        <v>32</v>
      </c>
      <c r="B127" t="s">
        <v>36</v>
      </c>
      <c r="C127">
        <v>4123</v>
      </c>
      <c r="D127">
        <v>4</v>
      </c>
      <c r="E127">
        <v>9</v>
      </c>
      <c r="F127">
        <v>145</v>
      </c>
    </row>
    <row r="128" spans="1:6" x14ac:dyDescent="0.25">
      <c r="A128">
        <v>32</v>
      </c>
      <c r="B128">
        <v>3</v>
      </c>
      <c r="C128">
        <v>5210</v>
      </c>
      <c r="D128">
        <v>2</v>
      </c>
      <c r="E128">
        <v>8</v>
      </c>
      <c r="F128">
        <v>140</v>
      </c>
    </row>
    <row r="129" spans="1:6" x14ac:dyDescent="0.25">
      <c r="A129">
        <v>32</v>
      </c>
      <c r="B129">
        <v>4</v>
      </c>
      <c r="C129">
        <v>6521</v>
      </c>
      <c r="D129">
        <v>1</v>
      </c>
      <c r="E129">
        <v>5</v>
      </c>
      <c r="F129">
        <v>149</v>
      </c>
    </row>
    <row r="130" spans="1:6" x14ac:dyDescent="0.25">
      <c r="A130">
        <v>33</v>
      </c>
      <c r="B130" t="s">
        <v>35</v>
      </c>
      <c r="C130">
        <v>10284</v>
      </c>
      <c r="D130">
        <v>1</v>
      </c>
      <c r="E130">
        <v>8</v>
      </c>
      <c r="F130">
        <v>143</v>
      </c>
    </row>
    <row r="131" spans="1:6" x14ac:dyDescent="0.25">
      <c r="A131">
        <v>33</v>
      </c>
      <c r="B131" t="s">
        <v>36</v>
      </c>
      <c r="C131">
        <v>1023</v>
      </c>
      <c r="D131">
        <v>4</v>
      </c>
      <c r="E131">
        <v>7</v>
      </c>
      <c r="F131">
        <v>32</v>
      </c>
    </row>
    <row r="132" spans="1:6" x14ac:dyDescent="0.25">
      <c r="A132">
        <v>33</v>
      </c>
      <c r="B132">
        <v>3</v>
      </c>
      <c r="C132">
        <v>6042</v>
      </c>
      <c r="D132">
        <v>2</v>
      </c>
      <c r="E132">
        <v>6</v>
      </c>
      <c r="F132">
        <v>122</v>
      </c>
    </row>
    <row r="133" spans="1:6" x14ac:dyDescent="0.25">
      <c r="A133">
        <v>33</v>
      </c>
      <c r="B133">
        <v>4</v>
      </c>
      <c r="C133">
        <v>3226</v>
      </c>
      <c r="D133">
        <v>3</v>
      </c>
      <c r="E133">
        <v>11</v>
      </c>
      <c r="F133">
        <v>61</v>
      </c>
    </row>
    <row r="134" spans="1:6" x14ac:dyDescent="0.25">
      <c r="A134">
        <v>34</v>
      </c>
      <c r="B134" t="s">
        <v>35</v>
      </c>
      <c r="C134">
        <v>6056</v>
      </c>
      <c r="D134">
        <v>2</v>
      </c>
      <c r="E134">
        <v>4</v>
      </c>
      <c r="F134">
        <v>168</v>
      </c>
    </row>
    <row r="135" spans="1:6" x14ac:dyDescent="0.25">
      <c r="A135">
        <v>34</v>
      </c>
      <c r="B135" t="s">
        <v>36</v>
      </c>
      <c r="C135">
        <v>4118</v>
      </c>
      <c r="D135">
        <v>4</v>
      </c>
      <c r="E135">
        <v>5</v>
      </c>
      <c r="F135">
        <v>170</v>
      </c>
    </row>
    <row r="136" spans="1:6" x14ac:dyDescent="0.25">
      <c r="A136">
        <v>34</v>
      </c>
      <c r="B136">
        <v>3</v>
      </c>
      <c r="C136">
        <v>5988</v>
      </c>
      <c r="D136">
        <v>3</v>
      </c>
      <c r="E136">
        <v>1</v>
      </c>
      <c r="F136">
        <v>151</v>
      </c>
    </row>
    <row r="137" spans="1:6" x14ac:dyDescent="0.25">
      <c r="A137">
        <v>34</v>
      </c>
      <c r="B137">
        <v>4</v>
      </c>
      <c r="C137">
        <v>6202</v>
      </c>
      <c r="D137">
        <v>1</v>
      </c>
      <c r="E137">
        <v>4</v>
      </c>
      <c r="F137">
        <v>171</v>
      </c>
    </row>
    <row r="138" spans="1:6" x14ac:dyDescent="0.25">
      <c r="A138">
        <v>35</v>
      </c>
      <c r="B138" t="s">
        <v>35</v>
      </c>
      <c r="C138">
        <v>7389</v>
      </c>
      <c r="D138">
        <v>2</v>
      </c>
      <c r="E138">
        <v>9</v>
      </c>
      <c r="F138">
        <v>134</v>
      </c>
    </row>
    <row r="139" spans="1:6" x14ac:dyDescent="0.25">
      <c r="A139">
        <v>35</v>
      </c>
      <c r="B139" t="s">
        <v>36</v>
      </c>
      <c r="C139">
        <v>2418</v>
      </c>
      <c r="D139">
        <v>4</v>
      </c>
      <c r="E139">
        <v>5</v>
      </c>
      <c r="F139">
        <v>89</v>
      </c>
    </row>
    <row r="140" spans="1:6" x14ac:dyDescent="0.25">
      <c r="A140">
        <v>35</v>
      </c>
      <c r="B140">
        <v>3</v>
      </c>
      <c r="C140">
        <v>2575</v>
      </c>
      <c r="D140">
        <v>3</v>
      </c>
      <c r="E140">
        <v>9</v>
      </c>
      <c r="F140">
        <v>77</v>
      </c>
    </row>
    <row r="141" spans="1:6" x14ac:dyDescent="0.25">
      <c r="A141">
        <v>35</v>
      </c>
      <c r="B141">
        <v>4</v>
      </c>
      <c r="C141">
        <v>7595</v>
      </c>
      <c r="D141">
        <v>1</v>
      </c>
      <c r="E141">
        <v>6</v>
      </c>
      <c r="F141">
        <v>120</v>
      </c>
    </row>
    <row r="142" spans="1:6" x14ac:dyDescent="0.25">
      <c r="A142">
        <v>36</v>
      </c>
      <c r="B142" t="s">
        <v>35</v>
      </c>
      <c r="C142">
        <v>5687</v>
      </c>
      <c r="D142">
        <v>1</v>
      </c>
      <c r="E142">
        <v>4</v>
      </c>
      <c r="F142">
        <v>118</v>
      </c>
    </row>
    <row r="143" spans="1:6" x14ac:dyDescent="0.25">
      <c r="A143">
        <v>36</v>
      </c>
      <c r="B143" t="s">
        <v>36</v>
      </c>
      <c r="C143">
        <v>5169</v>
      </c>
      <c r="D143">
        <v>3</v>
      </c>
      <c r="E143">
        <v>5</v>
      </c>
      <c r="F143">
        <v>141</v>
      </c>
    </row>
    <row r="144" spans="1:6" x14ac:dyDescent="0.25">
      <c r="A144">
        <v>36</v>
      </c>
      <c r="B144">
        <v>3</v>
      </c>
      <c r="C144">
        <v>4740</v>
      </c>
      <c r="D144">
        <v>4</v>
      </c>
      <c r="E144">
        <v>9</v>
      </c>
      <c r="F144">
        <v>121</v>
      </c>
    </row>
    <row r="145" spans="1:6" x14ac:dyDescent="0.25">
      <c r="A145">
        <v>36</v>
      </c>
      <c r="B145">
        <v>4</v>
      </c>
      <c r="C145">
        <v>5337</v>
      </c>
      <c r="D145">
        <v>2</v>
      </c>
      <c r="E145">
        <v>6</v>
      </c>
      <c r="F145">
        <v>129</v>
      </c>
    </row>
    <row r="146" spans="1:6" x14ac:dyDescent="0.25">
      <c r="A146">
        <v>37</v>
      </c>
      <c r="B146" t="s">
        <v>35</v>
      </c>
      <c r="C146">
        <v>9024</v>
      </c>
      <c r="D146">
        <v>1</v>
      </c>
      <c r="E146">
        <v>8</v>
      </c>
      <c r="F146">
        <v>128</v>
      </c>
    </row>
    <row r="147" spans="1:6" x14ac:dyDescent="0.25">
      <c r="A147">
        <v>37</v>
      </c>
      <c r="B147" t="s">
        <v>36</v>
      </c>
      <c r="C147">
        <v>2914</v>
      </c>
      <c r="D147">
        <v>3</v>
      </c>
      <c r="E147">
        <v>7</v>
      </c>
      <c r="F147">
        <v>60</v>
      </c>
    </row>
    <row r="148" spans="1:6" x14ac:dyDescent="0.25">
      <c r="A148">
        <v>37</v>
      </c>
      <c r="B148">
        <v>3</v>
      </c>
      <c r="C148">
        <v>2493</v>
      </c>
      <c r="D148">
        <v>4</v>
      </c>
      <c r="E148">
        <v>4</v>
      </c>
      <c r="F148">
        <v>78</v>
      </c>
    </row>
    <row r="149" spans="1:6" x14ac:dyDescent="0.25">
      <c r="A149">
        <v>37</v>
      </c>
      <c r="B149">
        <v>4</v>
      </c>
      <c r="C149">
        <v>4998</v>
      </c>
      <c r="D149">
        <v>2</v>
      </c>
      <c r="E149">
        <v>6</v>
      </c>
      <c r="F149">
        <v>104</v>
      </c>
    </row>
    <row r="150" spans="1:6" x14ac:dyDescent="0.25">
      <c r="A150">
        <v>38</v>
      </c>
      <c r="B150" t="s">
        <v>35</v>
      </c>
      <c r="C150">
        <v>5185</v>
      </c>
      <c r="D150">
        <v>3</v>
      </c>
      <c r="E150">
        <v>10</v>
      </c>
      <c r="F150">
        <v>110</v>
      </c>
    </row>
    <row r="151" spans="1:6" x14ac:dyDescent="0.25">
      <c r="A151">
        <v>38</v>
      </c>
      <c r="B151" t="s">
        <v>36</v>
      </c>
      <c r="C151">
        <v>5915</v>
      </c>
      <c r="D151">
        <v>1</v>
      </c>
      <c r="E151">
        <v>9</v>
      </c>
      <c r="F151">
        <v>100</v>
      </c>
    </row>
    <row r="152" spans="1:6" x14ac:dyDescent="0.25">
      <c r="A152">
        <v>38</v>
      </c>
      <c r="B152">
        <v>3</v>
      </c>
      <c r="C152">
        <v>3463</v>
      </c>
      <c r="D152">
        <v>4</v>
      </c>
      <c r="E152">
        <v>4</v>
      </c>
      <c r="F152">
        <v>70</v>
      </c>
    </row>
    <row r="153" spans="1:6" x14ac:dyDescent="0.25">
      <c r="A153">
        <v>38</v>
      </c>
      <c r="B153">
        <v>4</v>
      </c>
      <c r="C153">
        <v>5861</v>
      </c>
      <c r="D153">
        <v>2</v>
      </c>
      <c r="E153">
        <v>6</v>
      </c>
      <c r="F153">
        <v>103</v>
      </c>
    </row>
    <row r="154" spans="1:6" x14ac:dyDescent="0.25">
      <c r="A154">
        <v>39</v>
      </c>
      <c r="B154" t="s">
        <v>35</v>
      </c>
      <c r="C154">
        <v>5676</v>
      </c>
      <c r="D154">
        <v>1</v>
      </c>
      <c r="E154">
        <v>21</v>
      </c>
      <c r="F154">
        <v>128</v>
      </c>
    </row>
    <row r="155" spans="1:6" x14ac:dyDescent="0.25">
      <c r="A155">
        <v>39</v>
      </c>
      <c r="B155" t="s">
        <v>36</v>
      </c>
      <c r="C155">
        <v>3605</v>
      </c>
      <c r="D155">
        <v>4</v>
      </c>
      <c r="E155">
        <v>14</v>
      </c>
      <c r="F155">
        <v>130</v>
      </c>
    </row>
    <row r="156" spans="1:6" x14ac:dyDescent="0.25">
      <c r="A156">
        <v>39</v>
      </c>
      <c r="B156">
        <v>3</v>
      </c>
      <c r="C156">
        <v>4721</v>
      </c>
      <c r="D156">
        <v>3</v>
      </c>
      <c r="E156">
        <v>13</v>
      </c>
      <c r="F156">
        <v>115</v>
      </c>
    </row>
    <row r="157" spans="1:6" x14ac:dyDescent="0.25">
      <c r="A157">
        <v>39</v>
      </c>
      <c r="B157">
        <v>4</v>
      </c>
      <c r="C157">
        <v>5288</v>
      </c>
      <c r="D157">
        <v>2</v>
      </c>
      <c r="E157">
        <v>14</v>
      </c>
      <c r="F157">
        <v>121</v>
      </c>
    </row>
    <row r="158" spans="1:6" x14ac:dyDescent="0.25">
      <c r="A158">
        <v>40</v>
      </c>
      <c r="B158" t="s">
        <v>35</v>
      </c>
      <c r="C158">
        <v>6518</v>
      </c>
      <c r="D158">
        <v>1</v>
      </c>
      <c r="E158">
        <v>3</v>
      </c>
      <c r="F158">
        <v>170</v>
      </c>
    </row>
    <row r="159" spans="1:6" x14ac:dyDescent="0.25">
      <c r="A159">
        <v>40</v>
      </c>
      <c r="B159" t="s">
        <v>36</v>
      </c>
      <c r="C159">
        <v>4542</v>
      </c>
      <c r="D159">
        <v>3</v>
      </c>
      <c r="E159">
        <v>10</v>
      </c>
      <c r="F159">
        <v>131</v>
      </c>
    </row>
    <row r="160" spans="1:6" x14ac:dyDescent="0.25">
      <c r="A160">
        <v>40</v>
      </c>
      <c r="B160">
        <v>3</v>
      </c>
      <c r="C160">
        <v>6046</v>
      </c>
      <c r="D160">
        <v>2</v>
      </c>
      <c r="E160">
        <v>3</v>
      </c>
      <c r="F160">
        <v>160</v>
      </c>
    </row>
    <row r="161" spans="1:6" x14ac:dyDescent="0.25">
      <c r="A161">
        <v>40</v>
      </c>
      <c r="B161">
        <v>4</v>
      </c>
      <c r="C161">
        <v>3874</v>
      </c>
      <c r="D161">
        <v>4</v>
      </c>
      <c r="E161">
        <v>10</v>
      </c>
      <c r="F161">
        <v>130</v>
      </c>
    </row>
    <row r="162" spans="1:6" x14ac:dyDescent="0.25">
      <c r="A162">
        <v>41</v>
      </c>
      <c r="B162" t="s">
        <v>35</v>
      </c>
      <c r="C162">
        <v>2685</v>
      </c>
      <c r="D162">
        <v>3</v>
      </c>
      <c r="E162">
        <v>3</v>
      </c>
      <c r="F162">
        <v>235</v>
      </c>
    </row>
    <row r="163" spans="1:6" x14ac:dyDescent="0.25">
      <c r="A163">
        <v>41</v>
      </c>
      <c r="B163" t="s">
        <v>36</v>
      </c>
      <c r="C163">
        <v>3292</v>
      </c>
      <c r="D163">
        <v>2</v>
      </c>
      <c r="E163">
        <v>2</v>
      </c>
      <c r="F163">
        <v>236</v>
      </c>
    </row>
    <row r="164" spans="1:6" x14ac:dyDescent="0.25">
      <c r="A164">
        <v>41</v>
      </c>
      <c r="B164">
        <v>3</v>
      </c>
      <c r="C164">
        <v>1246</v>
      </c>
      <c r="D164">
        <v>4</v>
      </c>
      <c r="E164">
        <v>8</v>
      </c>
      <c r="F164">
        <v>155</v>
      </c>
    </row>
    <row r="165" spans="1:6" x14ac:dyDescent="0.25">
      <c r="A165">
        <v>41</v>
      </c>
      <c r="B165">
        <v>4</v>
      </c>
      <c r="C165">
        <v>12309</v>
      </c>
      <c r="D165">
        <v>1</v>
      </c>
      <c r="E165">
        <v>8</v>
      </c>
      <c r="F165">
        <v>163</v>
      </c>
    </row>
    <row r="166" spans="1:6" x14ac:dyDescent="0.25">
      <c r="A166">
        <v>42</v>
      </c>
      <c r="B166" t="s">
        <v>35</v>
      </c>
      <c r="C166">
        <v>4856</v>
      </c>
      <c r="D166">
        <v>2</v>
      </c>
      <c r="E166">
        <v>14</v>
      </c>
      <c r="F166">
        <v>115</v>
      </c>
    </row>
    <row r="167" spans="1:6" x14ac:dyDescent="0.25">
      <c r="A167">
        <v>42</v>
      </c>
      <c r="B167" t="s">
        <v>36</v>
      </c>
      <c r="C167">
        <v>2377</v>
      </c>
      <c r="D167">
        <v>4</v>
      </c>
      <c r="E167">
        <v>10</v>
      </c>
      <c r="F167">
        <v>38</v>
      </c>
    </row>
    <row r="168" spans="1:6" x14ac:dyDescent="0.25">
      <c r="A168">
        <v>42</v>
      </c>
      <c r="B168">
        <v>3</v>
      </c>
      <c r="C168">
        <v>6935</v>
      </c>
      <c r="D168">
        <v>1</v>
      </c>
      <c r="E168">
        <v>17</v>
      </c>
      <c r="F168">
        <v>122</v>
      </c>
    </row>
    <row r="169" spans="1:6" x14ac:dyDescent="0.25">
      <c r="A169">
        <v>42</v>
      </c>
      <c r="B169">
        <v>4</v>
      </c>
      <c r="C169">
        <v>4113</v>
      </c>
      <c r="D169">
        <v>3</v>
      </c>
      <c r="E169">
        <v>12</v>
      </c>
      <c r="F169">
        <v>71</v>
      </c>
    </row>
    <row r="170" spans="1:6" x14ac:dyDescent="0.25">
      <c r="A170">
        <v>43</v>
      </c>
      <c r="B170" t="s">
        <v>35</v>
      </c>
      <c r="C170">
        <v>6955</v>
      </c>
      <c r="D170">
        <v>2</v>
      </c>
      <c r="E170">
        <v>7</v>
      </c>
      <c r="F170">
        <v>146</v>
      </c>
    </row>
    <row r="171" spans="1:6" x14ac:dyDescent="0.25">
      <c r="A171">
        <v>43</v>
      </c>
      <c r="B171" t="s">
        <v>36</v>
      </c>
      <c r="C171">
        <v>735</v>
      </c>
      <c r="D171">
        <v>4</v>
      </c>
      <c r="E171">
        <v>1</v>
      </c>
      <c r="F171">
        <v>17</v>
      </c>
    </row>
    <row r="172" spans="1:6" x14ac:dyDescent="0.25">
      <c r="A172">
        <v>43</v>
      </c>
      <c r="B172">
        <v>3</v>
      </c>
      <c r="C172">
        <v>11714</v>
      </c>
      <c r="D172">
        <v>1</v>
      </c>
      <c r="E172">
        <v>7</v>
      </c>
      <c r="F172">
        <v>142</v>
      </c>
    </row>
    <row r="173" spans="1:6" x14ac:dyDescent="0.25">
      <c r="A173">
        <v>43</v>
      </c>
      <c r="B173">
        <v>4</v>
      </c>
      <c r="C173">
        <v>796</v>
      </c>
      <c r="D173">
        <v>3</v>
      </c>
      <c r="E173">
        <v>1</v>
      </c>
      <c r="F173">
        <v>22</v>
      </c>
    </row>
    <row r="174" spans="1:6" x14ac:dyDescent="0.25">
      <c r="A174">
        <v>44</v>
      </c>
      <c r="B174" t="s">
        <v>35</v>
      </c>
      <c r="C174">
        <v>4537</v>
      </c>
      <c r="D174">
        <v>2</v>
      </c>
      <c r="E174">
        <v>3</v>
      </c>
      <c r="F174">
        <v>159</v>
      </c>
    </row>
    <row r="175" spans="1:6" x14ac:dyDescent="0.25">
      <c r="A175">
        <v>44</v>
      </c>
      <c r="B175" t="s">
        <v>36</v>
      </c>
      <c r="C175">
        <v>3061</v>
      </c>
      <c r="D175">
        <v>4</v>
      </c>
      <c r="E175">
        <v>8</v>
      </c>
      <c r="F175">
        <v>97</v>
      </c>
    </row>
    <row r="176" spans="1:6" x14ac:dyDescent="0.25">
      <c r="A176">
        <v>44</v>
      </c>
      <c r="B176">
        <v>3</v>
      </c>
      <c r="C176">
        <v>8561</v>
      </c>
      <c r="D176">
        <v>1</v>
      </c>
      <c r="E176">
        <v>2</v>
      </c>
      <c r="F176">
        <v>158</v>
      </c>
    </row>
    <row r="177" spans="1:6" x14ac:dyDescent="0.25">
      <c r="A177">
        <v>44</v>
      </c>
      <c r="B177">
        <v>4</v>
      </c>
      <c r="C177">
        <v>3270</v>
      </c>
      <c r="D177">
        <v>3</v>
      </c>
      <c r="E177">
        <v>5</v>
      </c>
      <c r="F177">
        <v>103</v>
      </c>
    </row>
    <row r="178" spans="1:6" x14ac:dyDescent="0.25">
      <c r="A178">
        <v>45</v>
      </c>
      <c r="B178" t="s">
        <v>35</v>
      </c>
      <c r="C178">
        <v>4910</v>
      </c>
      <c r="D178">
        <v>2</v>
      </c>
      <c r="E178">
        <v>6</v>
      </c>
      <c r="F178">
        <v>170</v>
      </c>
    </row>
    <row r="179" spans="1:6" x14ac:dyDescent="0.25">
      <c r="A179">
        <v>45</v>
      </c>
      <c r="B179" t="s">
        <v>36</v>
      </c>
      <c r="C179">
        <v>4695</v>
      </c>
      <c r="D179">
        <v>3</v>
      </c>
      <c r="E179">
        <v>4</v>
      </c>
      <c r="F179">
        <v>118</v>
      </c>
    </row>
    <row r="180" spans="1:6" x14ac:dyDescent="0.25">
      <c r="A180">
        <v>45</v>
      </c>
      <c r="B180">
        <v>3</v>
      </c>
      <c r="C180">
        <v>7603</v>
      </c>
      <c r="D180">
        <v>1</v>
      </c>
      <c r="E180">
        <v>5</v>
      </c>
      <c r="F180">
        <v>155</v>
      </c>
    </row>
    <row r="181" spans="1:6" x14ac:dyDescent="0.25">
      <c r="A181">
        <v>45</v>
      </c>
      <c r="B181">
        <v>4</v>
      </c>
      <c r="C181">
        <v>3194</v>
      </c>
      <c r="D181">
        <v>4</v>
      </c>
      <c r="E181">
        <v>4</v>
      </c>
      <c r="F181">
        <v>120</v>
      </c>
    </row>
    <row r="182" spans="1:6" x14ac:dyDescent="0.25">
      <c r="A182">
        <v>46</v>
      </c>
      <c r="B182" t="s">
        <v>35</v>
      </c>
      <c r="C182">
        <v>4765</v>
      </c>
      <c r="D182">
        <v>3</v>
      </c>
      <c r="E182">
        <v>2</v>
      </c>
      <c r="F182">
        <v>144</v>
      </c>
    </row>
    <row r="183" spans="1:6" x14ac:dyDescent="0.25">
      <c r="A183">
        <v>46</v>
      </c>
      <c r="B183" t="s">
        <v>36</v>
      </c>
      <c r="C183">
        <v>6867</v>
      </c>
      <c r="D183">
        <v>1</v>
      </c>
      <c r="E183">
        <v>2</v>
      </c>
      <c r="F183">
        <v>152</v>
      </c>
    </row>
    <row r="184" spans="1:6" x14ac:dyDescent="0.25">
      <c r="A184">
        <v>46</v>
      </c>
      <c r="B184">
        <v>3</v>
      </c>
      <c r="C184">
        <v>4500</v>
      </c>
      <c r="D184">
        <v>4</v>
      </c>
      <c r="E184">
        <v>7</v>
      </c>
      <c r="F184">
        <v>131</v>
      </c>
    </row>
    <row r="185" spans="1:6" x14ac:dyDescent="0.25">
      <c r="A185">
        <v>46</v>
      </c>
      <c r="B185">
        <v>4</v>
      </c>
      <c r="C185">
        <v>6550</v>
      </c>
      <c r="D185">
        <v>2</v>
      </c>
      <c r="E185">
        <v>1</v>
      </c>
      <c r="F185">
        <v>150</v>
      </c>
    </row>
    <row r="186" spans="1:6" x14ac:dyDescent="0.25">
      <c r="A186">
        <v>47</v>
      </c>
      <c r="B186" t="s">
        <v>35</v>
      </c>
      <c r="C186">
        <v>5777</v>
      </c>
      <c r="D186">
        <v>1</v>
      </c>
      <c r="E186">
        <v>16</v>
      </c>
      <c r="F186">
        <v>121</v>
      </c>
    </row>
    <row r="187" spans="1:6" x14ac:dyDescent="0.25">
      <c r="A187">
        <v>47</v>
      </c>
      <c r="B187" t="s">
        <v>36</v>
      </c>
      <c r="C187">
        <v>5002</v>
      </c>
      <c r="D187">
        <v>3</v>
      </c>
      <c r="E187">
        <v>13</v>
      </c>
      <c r="F187">
        <v>112</v>
      </c>
    </row>
    <row r="188" spans="1:6" x14ac:dyDescent="0.25">
      <c r="A188">
        <v>47</v>
      </c>
      <c r="B188">
        <v>3</v>
      </c>
      <c r="C188">
        <v>3885</v>
      </c>
      <c r="D188">
        <v>4</v>
      </c>
      <c r="E188">
        <v>11</v>
      </c>
      <c r="F188">
        <v>113</v>
      </c>
    </row>
    <row r="189" spans="1:6" x14ac:dyDescent="0.25">
      <c r="A189">
        <v>47</v>
      </c>
      <c r="B189">
        <v>4</v>
      </c>
      <c r="C189">
        <v>5718</v>
      </c>
      <c r="D189">
        <v>2</v>
      </c>
      <c r="E189">
        <v>11</v>
      </c>
      <c r="F189">
        <v>138</v>
      </c>
    </row>
    <row r="190" spans="1:6" x14ac:dyDescent="0.25">
      <c r="A190">
        <v>48</v>
      </c>
      <c r="B190" t="s">
        <v>35</v>
      </c>
      <c r="C190">
        <v>5819</v>
      </c>
      <c r="D190">
        <v>2</v>
      </c>
      <c r="E190">
        <v>8</v>
      </c>
      <c r="F190">
        <v>150</v>
      </c>
    </row>
    <row r="191" spans="1:6" x14ac:dyDescent="0.25">
      <c r="A191">
        <v>48</v>
      </c>
      <c r="B191" t="s">
        <v>36</v>
      </c>
      <c r="C191">
        <v>6415</v>
      </c>
      <c r="D191">
        <v>1</v>
      </c>
      <c r="E191">
        <v>12</v>
      </c>
      <c r="F191">
        <v>129</v>
      </c>
    </row>
    <row r="192" spans="1:6" x14ac:dyDescent="0.25">
      <c r="A192">
        <v>48</v>
      </c>
      <c r="B192">
        <v>3</v>
      </c>
      <c r="C192">
        <v>2916</v>
      </c>
      <c r="D192">
        <v>4</v>
      </c>
      <c r="E192">
        <v>4</v>
      </c>
      <c r="F192">
        <v>118</v>
      </c>
    </row>
    <row r="193" spans="1:6" x14ac:dyDescent="0.25">
      <c r="A193">
        <v>48</v>
      </c>
      <c r="B193">
        <v>4</v>
      </c>
      <c r="C193">
        <v>4632</v>
      </c>
      <c r="D193">
        <v>3</v>
      </c>
      <c r="E193">
        <v>11</v>
      </c>
      <c r="F193">
        <v>155</v>
      </c>
    </row>
    <row r="194" spans="1:6" x14ac:dyDescent="0.25">
      <c r="A194">
        <v>49</v>
      </c>
      <c r="B194" t="s">
        <v>35</v>
      </c>
      <c r="C194">
        <v>5540</v>
      </c>
      <c r="D194">
        <v>3</v>
      </c>
      <c r="E194">
        <v>9</v>
      </c>
      <c r="F194">
        <v>114</v>
      </c>
    </row>
    <row r="195" spans="1:6" x14ac:dyDescent="0.25">
      <c r="A195">
        <v>49</v>
      </c>
      <c r="B195" t="s">
        <v>36</v>
      </c>
      <c r="C195">
        <v>6221</v>
      </c>
      <c r="D195">
        <v>2</v>
      </c>
      <c r="E195">
        <v>7</v>
      </c>
      <c r="F195">
        <v>126</v>
      </c>
    </row>
    <row r="196" spans="1:6" x14ac:dyDescent="0.25">
      <c r="A196">
        <v>49</v>
      </c>
      <c r="B196">
        <v>3</v>
      </c>
      <c r="C196">
        <v>3626</v>
      </c>
      <c r="D196">
        <v>4</v>
      </c>
      <c r="E196">
        <v>9</v>
      </c>
      <c r="F196">
        <v>97</v>
      </c>
    </row>
    <row r="197" spans="1:6" x14ac:dyDescent="0.25">
      <c r="A197">
        <v>49</v>
      </c>
      <c r="B197">
        <v>4</v>
      </c>
      <c r="C197">
        <v>6568</v>
      </c>
      <c r="D197">
        <v>1</v>
      </c>
      <c r="E197">
        <v>4</v>
      </c>
      <c r="F197">
        <v>95</v>
      </c>
    </row>
    <row r="198" spans="1:6" x14ac:dyDescent="0.25">
      <c r="A198">
        <v>50</v>
      </c>
      <c r="B198" t="s">
        <v>35</v>
      </c>
      <c r="C198">
        <v>3131</v>
      </c>
      <c r="D198">
        <v>3</v>
      </c>
      <c r="E198">
        <v>5</v>
      </c>
      <c r="F198">
        <v>76</v>
      </c>
    </row>
    <row r="199" spans="1:6" x14ac:dyDescent="0.25">
      <c r="A199">
        <v>50</v>
      </c>
      <c r="B199" t="s">
        <v>36</v>
      </c>
      <c r="C199">
        <v>3458</v>
      </c>
      <c r="D199">
        <v>2</v>
      </c>
      <c r="E199">
        <v>9</v>
      </c>
      <c r="F199">
        <v>69</v>
      </c>
    </row>
    <row r="200" spans="1:6" x14ac:dyDescent="0.25">
      <c r="A200">
        <v>50</v>
      </c>
      <c r="B200">
        <v>3</v>
      </c>
      <c r="C200">
        <v>9913</v>
      </c>
      <c r="D200">
        <v>1</v>
      </c>
      <c r="E200">
        <v>10</v>
      </c>
      <c r="F200">
        <v>96</v>
      </c>
    </row>
    <row r="201" spans="1:6" x14ac:dyDescent="0.25">
      <c r="A201">
        <v>50</v>
      </c>
      <c r="B201">
        <v>4</v>
      </c>
      <c r="C201">
        <v>3108</v>
      </c>
      <c r="D201">
        <v>4</v>
      </c>
      <c r="E201">
        <v>6</v>
      </c>
      <c r="F201">
        <v>72</v>
      </c>
    </row>
    <row r="202" spans="1:6" x14ac:dyDescent="0.25">
      <c r="A202">
        <v>51</v>
      </c>
      <c r="B202" t="s">
        <v>35</v>
      </c>
      <c r="C202">
        <v>1310</v>
      </c>
      <c r="D202">
        <v>4</v>
      </c>
      <c r="E202">
        <v>0</v>
      </c>
      <c r="F202">
        <v>25</v>
      </c>
    </row>
    <row r="203" spans="1:6" x14ac:dyDescent="0.25">
      <c r="A203">
        <v>51</v>
      </c>
      <c r="B203" t="s">
        <v>36</v>
      </c>
      <c r="C203">
        <v>7045</v>
      </c>
      <c r="D203">
        <v>1</v>
      </c>
      <c r="E203">
        <v>5</v>
      </c>
      <c r="F203">
        <v>154</v>
      </c>
    </row>
    <row r="204" spans="1:6" x14ac:dyDescent="0.25">
      <c r="A204">
        <v>51</v>
      </c>
      <c r="B204">
        <v>3</v>
      </c>
      <c r="C204">
        <v>5501</v>
      </c>
      <c r="D204">
        <v>3</v>
      </c>
      <c r="E204">
        <v>3</v>
      </c>
      <c r="F204">
        <v>146</v>
      </c>
    </row>
    <row r="205" spans="1:6" x14ac:dyDescent="0.25">
      <c r="A205">
        <v>51</v>
      </c>
      <c r="B205">
        <v>4</v>
      </c>
      <c r="C205">
        <v>6812</v>
      </c>
      <c r="D205">
        <v>2</v>
      </c>
      <c r="E205">
        <v>5</v>
      </c>
      <c r="F205">
        <v>144</v>
      </c>
    </row>
    <row r="206" spans="1:6" x14ac:dyDescent="0.25">
      <c r="A206">
        <v>52</v>
      </c>
      <c r="B206" t="s">
        <v>35</v>
      </c>
      <c r="C206">
        <v>4326</v>
      </c>
      <c r="D206">
        <v>3</v>
      </c>
      <c r="E206">
        <v>15</v>
      </c>
      <c r="F206">
        <v>154</v>
      </c>
    </row>
    <row r="207" spans="1:6" x14ac:dyDescent="0.25">
      <c r="A207">
        <v>52</v>
      </c>
      <c r="B207" t="s">
        <v>36</v>
      </c>
      <c r="C207">
        <v>4803</v>
      </c>
      <c r="D207">
        <v>2</v>
      </c>
      <c r="E207">
        <v>10</v>
      </c>
      <c r="F207">
        <v>131</v>
      </c>
    </row>
    <row r="208" spans="1:6" x14ac:dyDescent="0.25">
      <c r="A208">
        <v>52</v>
      </c>
      <c r="B208">
        <v>3</v>
      </c>
      <c r="C208">
        <v>4095</v>
      </c>
      <c r="D208">
        <v>4</v>
      </c>
      <c r="E208">
        <v>9</v>
      </c>
      <c r="F208">
        <v>129</v>
      </c>
    </row>
    <row r="209" spans="1:6" x14ac:dyDescent="0.25">
      <c r="A209">
        <v>52</v>
      </c>
      <c r="B209">
        <v>4</v>
      </c>
      <c r="C209">
        <v>5899</v>
      </c>
      <c r="D209">
        <v>1</v>
      </c>
      <c r="E209">
        <v>13</v>
      </c>
      <c r="F209">
        <v>168</v>
      </c>
    </row>
    <row r="210" spans="1:6" x14ac:dyDescent="0.25">
      <c r="A210">
        <v>53</v>
      </c>
      <c r="B210" t="s">
        <v>35</v>
      </c>
      <c r="C210">
        <v>5432</v>
      </c>
      <c r="D210">
        <v>1</v>
      </c>
      <c r="E210">
        <v>9</v>
      </c>
      <c r="F210">
        <v>145</v>
      </c>
    </row>
    <row r="211" spans="1:6" x14ac:dyDescent="0.25">
      <c r="A211">
        <v>53</v>
      </c>
      <c r="B211" t="s">
        <v>36</v>
      </c>
      <c r="C211">
        <v>5240</v>
      </c>
      <c r="D211">
        <v>2</v>
      </c>
      <c r="E211">
        <v>12</v>
      </c>
      <c r="F211">
        <v>129</v>
      </c>
    </row>
    <row r="212" spans="1:6" x14ac:dyDescent="0.25">
      <c r="A212">
        <v>53</v>
      </c>
      <c r="B212">
        <v>3</v>
      </c>
      <c r="C212">
        <v>5058</v>
      </c>
      <c r="D212">
        <v>3</v>
      </c>
      <c r="E212">
        <v>6</v>
      </c>
      <c r="F212">
        <v>126</v>
      </c>
    </row>
    <row r="213" spans="1:6" x14ac:dyDescent="0.25">
      <c r="A213">
        <v>53</v>
      </c>
      <c r="B213">
        <v>4</v>
      </c>
      <c r="C213">
        <v>4785</v>
      </c>
      <c r="D213">
        <v>4</v>
      </c>
      <c r="E213">
        <v>7</v>
      </c>
      <c r="F213">
        <v>134</v>
      </c>
    </row>
    <row r="214" spans="1:6" x14ac:dyDescent="0.25">
      <c r="A214">
        <v>54</v>
      </c>
      <c r="B214" t="s">
        <v>35</v>
      </c>
      <c r="C214">
        <v>273</v>
      </c>
      <c r="D214">
        <v>4</v>
      </c>
      <c r="E214">
        <v>2</v>
      </c>
      <c r="F214">
        <v>20</v>
      </c>
    </row>
    <row r="215" spans="1:6" x14ac:dyDescent="0.25">
      <c r="A215">
        <v>54</v>
      </c>
      <c r="B215" t="s">
        <v>36</v>
      </c>
      <c r="C215">
        <v>1506</v>
      </c>
      <c r="D215">
        <v>2</v>
      </c>
      <c r="E215">
        <v>1</v>
      </c>
      <c r="F215">
        <v>22</v>
      </c>
    </row>
    <row r="216" spans="1:6" x14ac:dyDescent="0.25">
      <c r="A216">
        <v>54</v>
      </c>
      <c r="B216">
        <v>3</v>
      </c>
      <c r="C216">
        <v>391</v>
      </c>
      <c r="D216">
        <v>3</v>
      </c>
      <c r="E216">
        <v>3</v>
      </c>
      <c r="F216">
        <v>23</v>
      </c>
    </row>
    <row r="217" spans="1:6" x14ac:dyDescent="0.25">
      <c r="A217">
        <v>54</v>
      </c>
      <c r="B217">
        <v>4</v>
      </c>
      <c r="C217">
        <v>4315</v>
      </c>
      <c r="D217">
        <v>1</v>
      </c>
      <c r="E217">
        <v>2</v>
      </c>
      <c r="F217">
        <v>29</v>
      </c>
    </row>
    <row r="218" spans="1:6" x14ac:dyDescent="0.25">
      <c r="A218">
        <v>55</v>
      </c>
      <c r="B218" t="s">
        <v>35</v>
      </c>
      <c r="C218">
        <v>5941</v>
      </c>
      <c r="D218">
        <v>2</v>
      </c>
      <c r="E218">
        <v>13</v>
      </c>
      <c r="F218">
        <v>121</v>
      </c>
    </row>
    <row r="219" spans="1:6" x14ac:dyDescent="0.25">
      <c r="A219">
        <v>55</v>
      </c>
      <c r="B219" t="s">
        <v>36</v>
      </c>
      <c r="C219">
        <v>4140</v>
      </c>
      <c r="D219">
        <v>4</v>
      </c>
      <c r="E219">
        <v>9</v>
      </c>
      <c r="F219">
        <v>72</v>
      </c>
    </row>
    <row r="220" spans="1:6" x14ac:dyDescent="0.25">
      <c r="A220">
        <v>55</v>
      </c>
      <c r="B220">
        <v>3</v>
      </c>
      <c r="C220">
        <v>5670</v>
      </c>
      <c r="D220">
        <v>3</v>
      </c>
      <c r="E220">
        <v>8</v>
      </c>
      <c r="F220">
        <v>115</v>
      </c>
    </row>
    <row r="221" spans="1:6" x14ac:dyDescent="0.25">
      <c r="A221">
        <v>55</v>
      </c>
      <c r="B221">
        <v>4</v>
      </c>
      <c r="C221">
        <v>6004</v>
      </c>
      <c r="D221">
        <v>1</v>
      </c>
      <c r="E221">
        <v>10</v>
      </c>
      <c r="F221">
        <v>133</v>
      </c>
    </row>
    <row r="222" spans="1:6" x14ac:dyDescent="0.25">
      <c r="A222">
        <v>56</v>
      </c>
      <c r="B222" t="s">
        <v>35</v>
      </c>
      <c r="C222">
        <v>6730</v>
      </c>
      <c r="D222">
        <v>1</v>
      </c>
      <c r="E222">
        <v>1</v>
      </c>
      <c r="F222">
        <v>155</v>
      </c>
    </row>
    <row r="223" spans="1:6" x14ac:dyDescent="0.25">
      <c r="A223">
        <v>56</v>
      </c>
      <c r="B223" t="s">
        <v>36</v>
      </c>
      <c r="C223">
        <v>5620</v>
      </c>
      <c r="D223">
        <v>3</v>
      </c>
      <c r="E223">
        <v>8</v>
      </c>
      <c r="F223">
        <v>157</v>
      </c>
    </row>
    <row r="224" spans="1:6" x14ac:dyDescent="0.25">
      <c r="A224">
        <v>56</v>
      </c>
      <c r="B224">
        <v>3</v>
      </c>
      <c r="C224">
        <v>3984</v>
      </c>
      <c r="D224">
        <v>4</v>
      </c>
      <c r="E224">
        <v>12</v>
      </c>
      <c r="F224">
        <v>141</v>
      </c>
    </row>
    <row r="225" spans="1:6" x14ac:dyDescent="0.25">
      <c r="A225">
        <v>56</v>
      </c>
      <c r="B225">
        <v>4</v>
      </c>
      <c r="C225">
        <v>5829</v>
      </c>
      <c r="D225">
        <v>2</v>
      </c>
      <c r="E225">
        <v>7</v>
      </c>
      <c r="F225">
        <v>163</v>
      </c>
    </row>
    <row r="226" spans="1:6" x14ac:dyDescent="0.25">
      <c r="A226">
        <v>57</v>
      </c>
      <c r="B226" t="s">
        <v>35</v>
      </c>
      <c r="C226">
        <v>3571</v>
      </c>
      <c r="D226">
        <v>3</v>
      </c>
      <c r="E226">
        <v>9</v>
      </c>
      <c r="F226">
        <v>113</v>
      </c>
    </row>
    <row r="227" spans="1:6" x14ac:dyDescent="0.25">
      <c r="A227">
        <v>57</v>
      </c>
      <c r="B227" t="s">
        <v>36</v>
      </c>
      <c r="C227">
        <v>5467</v>
      </c>
      <c r="D227">
        <v>1</v>
      </c>
      <c r="E227">
        <v>12</v>
      </c>
      <c r="F227">
        <v>143</v>
      </c>
    </row>
    <row r="228" spans="1:6" x14ac:dyDescent="0.25">
      <c r="A228">
        <v>57</v>
      </c>
      <c r="B228">
        <v>3</v>
      </c>
      <c r="C228">
        <v>2540</v>
      </c>
      <c r="D228">
        <v>4</v>
      </c>
      <c r="E228">
        <v>9</v>
      </c>
      <c r="F228">
        <v>112</v>
      </c>
    </row>
    <row r="229" spans="1:6" x14ac:dyDescent="0.25">
      <c r="A229">
        <v>57</v>
      </c>
      <c r="B229">
        <v>4</v>
      </c>
      <c r="C229">
        <v>3745</v>
      </c>
      <c r="D229">
        <v>2</v>
      </c>
      <c r="E229">
        <v>10</v>
      </c>
      <c r="F229">
        <v>99</v>
      </c>
    </row>
    <row r="230" spans="1:6" x14ac:dyDescent="0.25">
      <c r="A230">
        <v>58</v>
      </c>
      <c r="B230" t="s">
        <v>35</v>
      </c>
      <c r="C230">
        <v>9708</v>
      </c>
      <c r="D230">
        <v>1</v>
      </c>
      <c r="E230">
        <v>13</v>
      </c>
      <c r="F230">
        <v>120</v>
      </c>
    </row>
    <row r="231" spans="1:6" x14ac:dyDescent="0.25">
      <c r="A231">
        <v>58</v>
      </c>
      <c r="B231" t="s">
        <v>36</v>
      </c>
      <c r="C231">
        <v>548</v>
      </c>
      <c r="D231">
        <v>4</v>
      </c>
      <c r="E231">
        <v>2</v>
      </c>
      <c r="F231">
        <v>13</v>
      </c>
    </row>
    <row r="232" spans="1:6" x14ac:dyDescent="0.25">
      <c r="A232">
        <v>58</v>
      </c>
      <c r="B232">
        <v>3</v>
      </c>
      <c r="C232">
        <v>1705</v>
      </c>
      <c r="D232">
        <v>3</v>
      </c>
      <c r="E232">
        <v>2</v>
      </c>
      <c r="F232">
        <v>22</v>
      </c>
    </row>
    <row r="233" spans="1:6" x14ac:dyDescent="0.25">
      <c r="A233">
        <v>58</v>
      </c>
      <c r="B233">
        <v>4</v>
      </c>
      <c r="C233">
        <v>6797</v>
      </c>
      <c r="D233">
        <v>2</v>
      </c>
      <c r="E233">
        <v>10</v>
      </c>
      <c r="F233">
        <v>129</v>
      </c>
    </row>
    <row r="234" spans="1:6" x14ac:dyDescent="0.25">
      <c r="A234">
        <v>59</v>
      </c>
      <c r="B234" t="s">
        <v>35</v>
      </c>
      <c r="C234">
        <v>5788</v>
      </c>
      <c r="D234">
        <v>1</v>
      </c>
      <c r="E234">
        <v>13</v>
      </c>
      <c r="F234">
        <v>147</v>
      </c>
    </row>
    <row r="235" spans="1:6" x14ac:dyDescent="0.25">
      <c r="A235">
        <v>59</v>
      </c>
      <c r="B235" t="s">
        <v>36</v>
      </c>
      <c r="C235">
        <v>5590</v>
      </c>
      <c r="D235">
        <v>2</v>
      </c>
      <c r="E235">
        <v>7</v>
      </c>
      <c r="F235">
        <v>133</v>
      </c>
    </row>
    <row r="236" spans="1:6" x14ac:dyDescent="0.25">
      <c r="A236">
        <v>59</v>
      </c>
      <c r="B236">
        <v>3</v>
      </c>
      <c r="C236">
        <v>3529</v>
      </c>
      <c r="D236">
        <v>4</v>
      </c>
      <c r="E236">
        <v>6</v>
      </c>
      <c r="F236">
        <v>161</v>
      </c>
    </row>
    <row r="237" spans="1:6" x14ac:dyDescent="0.25">
      <c r="A237">
        <v>59</v>
      </c>
      <c r="B237">
        <v>4</v>
      </c>
      <c r="C237">
        <v>5225</v>
      </c>
      <c r="D237">
        <v>3</v>
      </c>
      <c r="E237">
        <v>12</v>
      </c>
      <c r="F237">
        <v>131</v>
      </c>
    </row>
    <row r="238" spans="1:6" x14ac:dyDescent="0.25">
      <c r="A238">
        <v>60</v>
      </c>
      <c r="B238" t="s">
        <v>35</v>
      </c>
      <c r="C238">
        <v>6762</v>
      </c>
      <c r="D238">
        <v>1</v>
      </c>
      <c r="E238">
        <v>7</v>
      </c>
      <c r="F238">
        <v>141</v>
      </c>
    </row>
    <row r="239" spans="1:6" x14ac:dyDescent="0.25">
      <c r="A239">
        <v>60</v>
      </c>
      <c r="B239" t="s">
        <v>36</v>
      </c>
      <c r="C239">
        <v>4757</v>
      </c>
      <c r="D239">
        <v>3</v>
      </c>
      <c r="E239">
        <v>4</v>
      </c>
      <c r="F239">
        <v>139</v>
      </c>
    </row>
    <row r="240" spans="1:6" x14ac:dyDescent="0.25">
      <c r="A240">
        <v>60</v>
      </c>
      <c r="B240">
        <v>3</v>
      </c>
      <c r="C240">
        <v>3012</v>
      </c>
      <c r="D240">
        <v>4</v>
      </c>
      <c r="E240">
        <v>3</v>
      </c>
      <c r="F240">
        <v>133</v>
      </c>
    </row>
    <row r="241" spans="1:6" x14ac:dyDescent="0.25">
      <c r="A241">
        <v>60</v>
      </c>
      <c r="B241">
        <v>4</v>
      </c>
      <c r="C241">
        <v>6454</v>
      </c>
      <c r="D241">
        <v>2</v>
      </c>
      <c r="E241">
        <v>5</v>
      </c>
      <c r="F241">
        <v>151</v>
      </c>
    </row>
    <row r="242" spans="1:6" x14ac:dyDescent="0.25">
      <c r="A242">
        <v>61</v>
      </c>
      <c r="B242" t="s">
        <v>35</v>
      </c>
      <c r="C242">
        <v>9744</v>
      </c>
      <c r="D242">
        <v>1</v>
      </c>
      <c r="E242">
        <v>5</v>
      </c>
      <c r="F242">
        <v>106</v>
      </c>
    </row>
    <row r="243" spans="1:6" x14ac:dyDescent="0.25">
      <c r="A243">
        <v>61</v>
      </c>
      <c r="B243" t="s">
        <v>36</v>
      </c>
      <c r="C243">
        <v>5176</v>
      </c>
      <c r="D243">
        <v>2</v>
      </c>
      <c r="E243">
        <v>4</v>
      </c>
      <c r="F243">
        <v>79</v>
      </c>
    </row>
    <row r="244" spans="1:6" x14ac:dyDescent="0.25">
      <c r="A244">
        <v>61</v>
      </c>
      <c r="B244">
        <v>3</v>
      </c>
      <c r="C244">
        <v>739</v>
      </c>
      <c r="D244">
        <v>4</v>
      </c>
      <c r="E244">
        <v>7</v>
      </c>
      <c r="F244">
        <v>30</v>
      </c>
    </row>
    <row r="245" spans="1:6" x14ac:dyDescent="0.25">
      <c r="A245">
        <v>61</v>
      </c>
      <c r="B245">
        <v>4</v>
      </c>
      <c r="C245">
        <v>2796</v>
      </c>
      <c r="D245">
        <v>3</v>
      </c>
      <c r="E245">
        <v>24</v>
      </c>
      <c r="F245">
        <v>55</v>
      </c>
    </row>
    <row r="246" spans="1:6" x14ac:dyDescent="0.25">
      <c r="A246">
        <v>62</v>
      </c>
      <c r="B246" t="s">
        <v>35</v>
      </c>
      <c r="C246">
        <v>5911</v>
      </c>
      <c r="D246">
        <v>2</v>
      </c>
      <c r="E246">
        <v>11</v>
      </c>
      <c r="F246">
        <v>134</v>
      </c>
    </row>
    <row r="247" spans="1:6" x14ac:dyDescent="0.25">
      <c r="A247">
        <v>62</v>
      </c>
      <c r="B247" t="s">
        <v>36</v>
      </c>
      <c r="C247">
        <v>5407</v>
      </c>
      <c r="D247">
        <v>3</v>
      </c>
      <c r="E247">
        <v>15</v>
      </c>
      <c r="F247">
        <v>115</v>
      </c>
    </row>
    <row r="248" spans="1:6" x14ac:dyDescent="0.25">
      <c r="A248">
        <v>62</v>
      </c>
      <c r="B248">
        <v>3</v>
      </c>
      <c r="C248">
        <v>3075</v>
      </c>
      <c r="D248">
        <v>4</v>
      </c>
      <c r="E248">
        <v>13</v>
      </c>
      <c r="F248">
        <v>108</v>
      </c>
    </row>
    <row r="249" spans="1:6" x14ac:dyDescent="0.25">
      <c r="A249">
        <v>62</v>
      </c>
      <c r="B249">
        <v>4</v>
      </c>
      <c r="C249">
        <v>6256</v>
      </c>
      <c r="D249">
        <v>1</v>
      </c>
      <c r="E249">
        <v>14</v>
      </c>
      <c r="F249">
        <v>121</v>
      </c>
    </row>
    <row r="250" spans="1:6" x14ac:dyDescent="0.25">
      <c r="A250">
        <v>63</v>
      </c>
      <c r="B250" t="s">
        <v>35</v>
      </c>
      <c r="C250">
        <v>389</v>
      </c>
      <c r="D250">
        <v>4</v>
      </c>
      <c r="E250">
        <v>0</v>
      </c>
      <c r="F250">
        <v>20</v>
      </c>
    </row>
    <row r="251" spans="1:6" x14ac:dyDescent="0.25">
      <c r="A251">
        <v>63</v>
      </c>
      <c r="B251" t="s">
        <v>36</v>
      </c>
      <c r="C251">
        <v>1593</v>
      </c>
      <c r="D251">
        <v>3</v>
      </c>
      <c r="E251">
        <v>3</v>
      </c>
      <c r="F251">
        <v>32</v>
      </c>
    </row>
    <row r="252" spans="1:6" x14ac:dyDescent="0.25">
      <c r="A252">
        <v>63</v>
      </c>
      <c r="B252">
        <v>3</v>
      </c>
      <c r="C252">
        <v>12357</v>
      </c>
      <c r="D252">
        <v>1</v>
      </c>
      <c r="E252">
        <v>3</v>
      </c>
      <c r="F252">
        <v>130</v>
      </c>
    </row>
    <row r="253" spans="1:6" x14ac:dyDescent="0.25">
      <c r="A253">
        <v>63</v>
      </c>
      <c r="B253">
        <v>4</v>
      </c>
      <c r="C253">
        <v>6998</v>
      </c>
      <c r="D253">
        <v>2</v>
      </c>
      <c r="E253">
        <v>5</v>
      </c>
      <c r="F253">
        <v>122</v>
      </c>
    </row>
    <row r="254" spans="1:6" x14ac:dyDescent="0.25">
      <c r="A254">
        <v>64</v>
      </c>
      <c r="B254" t="s">
        <v>35</v>
      </c>
      <c r="C254">
        <v>3710</v>
      </c>
      <c r="D254">
        <v>4</v>
      </c>
      <c r="E254">
        <v>7</v>
      </c>
      <c r="F254">
        <v>159</v>
      </c>
    </row>
    <row r="255" spans="1:6" x14ac:dyDescent="0.25">
      <c r="A255">
        <v>64</v>
      </c>
      <c r="B255" t="s">
        <v>36</v>
      </c>
      <c r="C255">
        <v>5683</v>
      </c>
      <c r="D255">
        <v>3</v>
      </c>
      <c r="E255">
        <v>11</v>
      </c>
      <c r="F255">
        <v>175</v>
      </c>
    </row>
    <row r="256" spans="1:6" x14ac:dyDescent="0.25">
      <c r="A256">
        <v>64</v>
      </c>
      <c r="B256">
        <v>3</v>
      </c>
      <c r="C256">
        <v>5703</v>
      </c>
      <c r="D256">
        <v>2</v>
      </c>
      <c r="E256">
        <v>6</v>
      </c>
      <c r="F256">
        <v>165</v>
      </c>
    </row>
    <row r="257" spans="1:6" x14ac:dyDescent="0.25">
      <c r="A257">
        <v>64</v>
      </c>
      <c r="B257">
        <v>4</v>
      </c>
      <c r="C257">
        <v>5960</v>
      </c>
      <c r="D257">
        <v>1</v>
      </c>
      <c r="E257">
        <v>6</v>
      </c>
      <c r="F257">
        <v>171</v>
      </c>
    </row>
    <row r="258" spans="1:6" x14ac:dyDescent="0.25">
      <c r="A258">
        <v>65</v>
      </c>
      <c r="B258" t="s">
        <v>35</v>
      </c>
      <c r="C258">
        <v>6248</v>
      </c>
      <c r="D258">
        <v>2</v>
      </c>
      <c r="E258">
        <v>9</v>
      </c>
      <c r="F258">
        <v>129</v>
      </c>
    </row>
    <row r="259" spans="1:6" x14ac:dyDescent="0.25">
      <c r="A259">
        <v>65</v>
      </c>
      <c r="B259" t="s">
        <v>36</v>
      </c>
      <c r="C259">
        <v>3923</v>
      </c>
      <c r="D259">
        <v>3</v>
      </c>
      <c r="E259">
        <v>13</v>
      </c>
      <c r="F259">
        <v>127</v>
      </c>
    </row>
    <row r="260" spans="1:6" x14ac:dyDescent="0.25">
      <c r="A260">
        <v>65</v>
      </c>
      <c r="B260">
        <v>3</v>
      </c>
      <c r="C260">
        <v>1586</v>
      </c>
      <c r="D260">
        <v>4</v>
      </c>
      <c r="E260">
        <v>13</v>
      </c>
      <c r="F260">
        <v>70</v>
      </c>
    </row>
    <row r="261" spans="1:6" x14ac:dyDescent="0.25">
      <c r="A261">
        <v>65</v>
      </c>
      <c r="B261">
        <v>4</v>
      </c>
      <c r="C261">
        <v>7409</v>
      </c>
      <c r="D261">
        <v>1</v>
      </c>
      <c r="E261">
        <v>13</v>
      </c>
      <c r="F261">
        <v>97</v>
      </c>
    </row>
    <row r="262" spans="1:6" x14ac:dyDescent="0.25">
      <c r="A262">
        <v>66</v>
      </c>
      <c r="B262" t="s">
        <v>35</v>
      </c>
      <c r="C262">
        <v>5392</v>
      </c>
      <c r="D262">
        <v>2</v>
      </c>
      <c r="E262">
        <v>6</v>
      </c>
      <c r="F262">
        <v>158</v>
      </c>
    </row>
    <row r="263" spans="1:6" x14ac:dyDescent="0.25">
      <c r="A263">
        <v>66</v>
      </c>
      <c r="B263" t="s">
        <v>36</v>
      </c>
      <c r="C263">
        <v>6205</v>
      </c>
      <c r="D263">
        <v>1</v>
      </c>
      <c r="E263">
        <v>8</v>
      </c>
      <c r="F263">
        <v>138</v>
      </c>
    </row>
    <row r="264" spans="1:6" x14ac:dyDescent="0.25">
      <c r="A264">
        <v>66</v>
      </c>
      <c r="B264">
        <v>3</v>
      </c>
      <c r="C264">
        <v>3497</v>
      </c>
      <c r="D264">
        <v>4</v>
      </c>
      <c r="E264">
        <v>11</v>
      </c>
      <c r="F264">
        <v>160</v>
      </c>
    </row>
    <row r="265" spans="1:6" x14ac:dyDescent="0.25">
      <c r="A265">
        <v>66</v>
      </c>
      <c r="B265">
        <v>4</v>
      </c>
      <c r="C265">
        <v>4962</v>
      </c>
      <c r="D265">
        <v>3</v>
      </c>
      <c r="E265">
        <v>11</v>
      </c>
      <c r="F265">
        <v>148</v>
      </c>
    </row>
    <row r="266" spans="1:6" x14ac:dyDescent="0.25">
      <c r="A266">
        <v>67</v>
      </c>
      <c r="B266" t="s">
        <v>35</v>
      </c>
      <c r="C266">
        <v>6064</v>
      </c>
      <c r="D266">
        <v>1</v>
      </c>
      <c r="E266">
        <v>7</v>
      </c>
      <c r="F266">
        <v>133</v>
      </c>
    </row>
    <row r="267" spans="1:6" x14ac:dyDescent="0.25">
      <c r="A267">
        <v>67</v>
      </c>
      <c r="B267" t="s">
        <v>36</v>
      </c>
      <c r="C267">
        <v>5667</v>
      </c>
      <c r="D267">
        <v>2</v>
      </c>
      <c r="E267">
        <v>8</v>
      </c>
      <c r="F267">
        <v>130</v>
      </c>
    </row>
    <row r="268" spans="1:6" x14ac:dyDescent="0.25">
      <c r="A268">
        <v>67</v>
      </c>
      <c r="B268">
        <v>3</v>
      </c>
      <c r="C268">
        <v>5277</v>
      </c>
      <c r="D268">
        <v>4</v>
      </c>
      <c r="E268">
        <v>10</v>
      </c>
      <c r="F268">
        <v>125</v>
      </c>
    </row>
    <row r="269" spans="1:6" x14ac:dyDescent="0.25">
      <c r="A269">
        <v>67</v>
      </c>
      <c r="B269">
        <v>4</v>
      </c>
      <c r="C269">
        <v>5282</v>
      </c>
      <c r="D269">
        <v>3</v>
      </c>
      <c r="E269">
        <v>5</v>
      </c>
      <c r="F269">
        <v>117</v>
      </c>
    </row>
    <row r="270" spans="1:6" x14ac:dyDescent="0.25">
      <c r="A270">
        <v>68</v>
      </c>
      <c r="B270" t="s">
        <v>35</v>
      </c>
      <c r="C270">
        <v>1962</v>
      </c>
      <c r="D270">
        <v>3</v>
      </c>
      <c r="E270">
        <v>0</v>
      </c>
      <c r="F270">
        <v>8</v>
      </c>
    </row>
    <row r="271" spans="1:6" x14ac:dyDescent="0.25">
      <c r="A271">
        <v>68</v>
      </c>
      <c r="B271" t="s">
        <v>36</v>
      </c>
      <c r="C271">
        <v>4179</v>
      </c>
      <c r="D271">
        <v>2</v>
      </c>
      <c r="E271">
        <v>0</v>
      </c>
      <c r="F271">
        <v>8</v>
      </c>
    </row>
    <row r="272" spans="1:6" x14ac:dyDescent="0.25">
      <c r="A272">
        <v>68</v>
      </c>
      <c r="B272">
        <v>3</v>
      </c>
      <c r="C272">
        <v>158</v>
      </c>
      <c r="D272">
        <v>4</v>
      </c>
      <c r="E272">
        <v>0</v>
      </c>
      <c r="F272">
        <v>9</v>
      </c>
    </row>
    <row r="273" spans="1:6" x14ac:dyDescent="0.25">
      <c r="A273">
        <v>68</v>
      </c>
      <c r="B273">
        <v>4</v>
      </c>
      <c r="C273">
        <v>4740</v>
      </c>
      <c r="D273">
        <v>1</v>
      </c>
      <c r="E273">
        <v>0</v>
      </c>
      <c r="F273">
        <v>8</v>
      </c>
    </row>
    <row r="274" spans="1:6" x14ac:dyDescent="0.25">
      <c r="A274">
        <v>69</v>
      </c>
      <c r="B274" t="s">
        <v>35</v>
      </c>
      <c r="C274">
        <v>12820</v>
      </c>
      <c r="D274">
        <v>1</v>
      </c>
      <c r="E274">
        <v>0</v>
      </c>
      <c r="F274">
        <v>124</v>
      </c>
    </row>
    <row r="275" spans="1:6" x14ac:dyDescent="0.25">
      <c r="A275">
        <v>69</v>
      </c>
      <c r="B275" t="s">
        <v>36</v>
      </c>
      <c r="C275">
        <v>528</v>
      </c>
      <c r="D275">
        <v>4</v>
      </c>
      <c r="E275">
        <v>0</v>
      </c>
      <c r="F275">
        <v>18</v>
      </c>
    </row>
    <row r="276" spans="1:6" x14ac:dyDescent="0.25">
      <c r="A276">
        <v>69</v>
      </c>
      <c r="B276">
        <v>3</v>
      </c>
      <c r="C276">
        <v>1884</v>
      </c>
      <c r="D276">
        <v>3</v>
      </c>
      <c r="E276">
        <v>0</v>
      </c>
      <c r="F276">
        <v>16</v>
      </c>
    </row>
    <row r="277" spans="1:6" x14ac:dyDescent="0.25">
      <c r="A277">
        <v>69</v>
      </c>
      <c r="B277">
        <v>4</v>
      </c>
      <c r="C277">
        <v>4959</v>
      </c>
      <c r="D277">
        <v>2</v>
      </c>
      <c r="E277">
        <v>0</v>
      </c>
      <c r="F277">
        <v>114</v>
      </c>
    </row>
    <row r="278" spans="1:6" x14ac:dyDescent="0.25">
      <c r="A278">
        <v>70</v>
      </c>
      <c r="B278" t="s">
        <v>35</v>
      </c>
      <c r="C278">
        <v>5572</v>
      </c>
      <c r="D278">
        <v>3</v>
      </c>
      <c r="E278">
        <v>12</v>
      </c>
      <c r="F278">
        <v>116</v>
      </c>
    </row>
    <row r="279" spans="1:6" x14ac:dyDescent="0.25">
      <c r="A279">
        <v>70</v>
      </c>
      <c r="B279" t="s">
        <v>36</v>
      </c>
      <c r="C279">
        <v>3695</v>
      </c>
      <c r="D279">
        <v>4</v>
      </c>
      <c r="E279">
        <v>5</v>
      </c>
      <c r="F279">
        <v>89</v>
      </c>
    </row>
    <row r="280" spans="1:6" x14ac:dyDescent="0.25">
      <c r="A280">
        <v>70</v>
      </c>
      <c r="B280">
        <v>3</v>
      </c>
      <c r="C280">
        <v>6770</v>
      </c>
      <c r="D280">
        <v>1</v>
      </c>
      <c r="E280">
        <v>4</v>
      </c>
      <c r="F280">
        <v>125</v>
      </c>
    </row>
    <row r="281" spans="1:6" x14ac:dyDescent="0.25">
      <c r="A281">
        <v>70</v>
      </c>
      <c r="B281">
        <v>4</v>
      </c>
      <c r="C281">
        <v>5948</v>
      </c>
      <c r="D281">
        <v>2</v>
      </c>
      <c r="E281">
        <v>17</v>
      </c>
      <c r="F281">
        <v>124</v>
      </c>
    </row>
    <row r="282" spans="1:6" x14ac:dyDescent="0.25">
      <c r="A282">
        <v>71</v>
      </c>
      <c r="B282" t="s">
        <v>35</v>
      </c>
      <c r="C282">
        <v>16995</v>
      </c>
      <c r="D282">
        <v>1</v>
      </c>
      <c r="E282">
        <v>0</v>
      </c>
      <c r="F282">
        <v>110</v>
      </c>
    </row>
    <row r="283" spans="1:6" x14ac:dyDescent="0.25">
      <c r="A283">
        <v>71</v>
      </c>
      <c r="B283" t="s">
        <v>36</v>
      </c>
      <c r="C283">
        <v>2362</v>
      </c>
      <c r="D283">
        <v>2</v>
      </c>
      <c r="E283">
        <v>0</v>
      </c>
      <c r="F283">
        <v>14</v>
      </c>
    </row>
    <row r="284" spans="1:6" x14ac:dyDescent="0.25">
      <c r="A284">
        <v>71</v>
      </c>
      <c r="B284">
        <v>3</v>
      </c>
      <c r="C284">
        <v>1146</v>
      </c>
      <c r="D284">
        <v>3</v>
      </c>
      <c r="E284">
        <v>1</v>
      </c>
      <c r="F284">
        <v>88</v>
      </c>
    </row>
    <row r="285" spans="1:6" x14ac:dyDescent="0.25">
      <c r="A285">
        <v>71</v>
      </c>
      <c r="B285">
        <v>4</v>
      </c>
      <c r="C285">
        <v>707</v>
      </c>
      <c r="D285">
        <v>4</v>
      </c>
      <c r="E285">
        <v>1</v>
      </c>
      <c r="F285">
        <v>19</v>
      </c>
    </row>
    <row r="286" spans="1:6" x14ac:dyDescent="0.25">
      <c r="A286">
        <v>72</v>
      </c>
      <c r="B286" t="s">
        <v>35</v>
      </c>
      <c r="C286">
        <v>5229</v>
      </c>
      <c r="D286">
        <v>1</v>
      </c>
      <c r="E286">
        <v>5</v>
      </c>
      <c r="F286">
        <v>139</v>
      </c>
    </row>
    <row r="287" spans="1:6" x14ac:dyDescent="0.25">
      <c r="A287">
        <v>72</v>
      </c>
      <c r="B287" t="s">
        <v>36</v>
      </c>
      <c r="C287">
        <v>4950</v>
      </c>
      <c r="D287">
        <v>3</v>
      </c>
      <c r="E287">
        <v>3</v>
      </c>
      <c r="F287">
        <v>147</v>
      </c>
    </row>
    <row r="288" spans="1:6" x14ac:dyDescent="0.25">
      <c r="A288">
        <v>72</v>
      </c>
      <c r="B288">
        <v>3</v>
      </c>
      <c r="C288">
        <v>4474</v>
      </c>
      <c r="D288">
        <v>4</v>
      </c>
      <c r="E288">
        <v>5</v>
      </c>
      <c r="F288">
        <v>157</v>
      </c>
    </row>
    <row r="289" spans="1:6" x14ac:dyDescent="0.25">
      <c r="A289">
        <v>72</v>
      </c>
      <c r="B289">
        <v>4</v>
      </c>
      <c r="C289">
        <v>5007</v>
      </c>
      <c r="D289">
        <v>2</v>
      </c>
      <c r="E289">
        <v>3</v>
      </c>
      <c r="F289">
        <v>155</v>
      </c>
    </row>
    <row r="290" spans="1:6" x14ac:dyDescent="0.25">
      <c r="A290">
        <v>73</v>
      </c>
      <c r="B290" t="s">
        <v>35</v>
      </c>
      <c r="C290">
        <v>4057</v>
      </c>
      <c r="D290">
        <v>3</v>
      </c>
      <c r="E290">
        <v>7</v>
      </c>
      <c r="F290">
        <v>168</v>
      </c>
    </row>
    <row r="291" spans="1:6" x14ac:dyDescent="0.25">
      <c r="A291">
        <v>73</v>
      </c>
      <c r="B291" t="s">
        <v>36</v>
      </c>
      <c r="C291">
        <v>6457</v>
      </c>
      <c r="D291">
        <v>1</v>
      </c>
      <c r="E291">
        <v>5</v>
      </c>
      <c r="F291">
        <v>165</v>
      </c>
    </row>
    <row r="292" spans="1:6" x14ac:dyDescent="0.25">
      <c r="A292">
        <v>73</v>
      </c>
      <c r="B292">
        <v>3</v>
      </c>
      <c r="C292">
        <v>3377</v>
      </c>
      <c r="D292">
        <v>4</v>
      </c>
      <c r="E292">
        <v>10</v>
      </c>
      <c r="F292">
        <v>140</v>
      </c>
    </row>
    <row r="293" spans="1:6" x14ac:dyDescent="0.25">
      <c r="A293">
        <v>73</v>
      </c>
      <c r="B293">
        <v>4</v>
      </c>
      <c r="C293">
        <v>6403</v>
      </c>
      <c r="D293">
        <v>2</v>
      </c>
      <c r="E293">
        <v>7</v>
      </c>
      <c r="F293">
        <v>159</v>
      </c>
    </row>
    <row r="294" spans="1:6" x14ac:dyDescent="0.25">
      <c r="A294">
        <v>74</v>
      </c>
      <c r="B294" t="s">
        <v>35</v>
      </c>
      <c r="C294">
        <v>12082</v>
      </c>
      <c r="D294">
        <v>1</v>
      </c>
      <c r="E294">
        <v>3</v>
      </c>
      <c r="F294">
        <v>127</v>
      </c>
    </row>
    <row r="295" spans="1:6" x14ac:dyDescent="0.25">
      <c r="A295">
        <v>74</v>
      </c>
      <c r="B295" t="s">
        <v>36</v>
      </c>
      <c r="C295">
        <v>1985</v>
      </c>
      <c r="D295">
        <v>4</v>
      </c>
      <c r="E295">
        <v>4</v>
      </c>
      <c r="F295">
        <v>77</v>
      </c>
    </row>
    <row r="296" spans="1:6" x14ac:dyDescent="0.25">
      <c r="A296">
        <v>74</v>
      </c>
      <c r="B296">
        <v>3</v>
      </c>
      <c r="C296">
        <v>3001</v>
      </c>
      <c r="D296">
        <v>2</v>
      </c>
      <c r="E296">
        <v>3</v>
      </c>
      <c r="F296">
        <v>104</v>
      </c>
    </row>
    <row r="297" spans="1:6" x14ac:dyDescent="0.25">
      <c r="A297">
        <v>74</v>
      </c>
      <c r="B297">
        <v>4</v>
      </c>
      <c r="C297">
        <v>2344</v>
      </c>
      <c r="D297">
        <v>3</v>
      </c>
      <c r="E297">
        <v>4</v>
      </c>
      <c r="F297">
        <v>62</v>
      </c>
    </row>
    <row r="298" spans="1:6" x14ac:dyDescent="0.25">
      <c r="A298">
        <v>75</v>
      </c>
      <c r="B298" t="s">
        <v>35</v>
      </c>
      <c r="C298">
        <v>2809</v>
      </c>
      <c r="D298">
        <v>4</v>
      </c>
      <c r="E298">
        <v>9</v>
      </c>
      <c r="F298">
        <v>101</v>
      </c>
    </row>
    <row r="299" spans="1:6" x14ac:dyDescent="0.25">
      <c r="A299">
        <v>75</v>
      </c>
      <c r="B299" t="s">
        <v>36</v>
      </c>
      <c r="C299">
        <v>3634</v>
      </c>
      <c r="D299">
        <v>3</v>
      </c>
      <c r="E299">
        <v>7</v>
      </c>
      <c r="F299">
        <v>220</v>
      </c>
    </row>
    <row r="300" spans="1:6" x14ac:dyDescent="0.25">
      <c r="A300">
        <v>75</v>
      </c>
      <c r="B300">
        <v>3</v>
      </c>
      <c r="C300">
        <v>3916</v>
      </c>
      <c r="D300">
        <v>2</v>
      </c>
      <c r="E300">
        <v>6</v>
      </c>
      <c r="F300">
        <v>208</v>
      </c>
    </row>
    <row r="301" spans="1:6" x14ac:dyDescent="0.25">
      <c r="A301">
        <v>75</v>
      </c>
      <c r="B301">
        <v>4</v>
      </c>
      <c r="C301">
        <v>4948</v>
      </c>
      <c r="D301">
        <v>1</v>
      </c>
      <c r="E301">
        <v>5</v>
      </c>
      <c r="F301">
        <v>116</v>
      </c>
    </row>
    <row r="302" spans="1:6" x14ac:dyDescent="0.25">
      <c r="A302">
        <v>76</v>
      </c>
      <c r="B302" t="s">
        <v>35</v>
      </c>
      <c r="C302">
        <v>5281</v>
      </c>
      <c r="D302">
        <v>2</v>
      </c>
      <c r="E302">
        <v>4</v>
      </c>
      <c r="F302">
        <v>142</v>
      </c>
    </row>
    <row r="303" spans="1:6" x14ac:dyDescent="0.25">
      <c r="A303">
        <v>76</v>
      </c>
      <c r="B303" t="s">
        <v>36</v>
      </c>
      <c r="C303">
        <v>2692</v>
      </c>
      <c r="D303">
        <v>4</v>
      </c>
      <c r="E303">
        <v>4</v>
      </c>
      <c r="F303">
        <v>97</v>
      </c>
    </row>
    <row r="304" spans="1:6" x14ac:dyDescent="0.25">
      <c r="A304">
        <v>76</v>
      </c>
      <c r="B304">
        <v>3</v>
      </c>
      <c r="C304">
        <v>3174</v>
      </c>
      <c r="D304">
        <v>3</v>
      </c>
      <c r="E304">
        <v>3</v>
      </c>
      <c r="F304">
        <v>105</v>
      </c>
    </row>
    <row r="305" spans="1:6" x14ac:dyDescent="0.25">
      <c r="A305">
        <v>76</v>
      </c>
      <c r="B305">
        <v>4</v>
      </c>
      <c r="C305">
        <v>8527</v>
      </c>
      <c r="D305">
        <v>1</v>
      </c>
      <c r="E305">
        <v>8</v>
      </c>
      <c r="F305">
        <v>135</v>
      </c>
    </row>
    <row r="306" spans="1:6" x14ac:dyDescent="0.25">
      <c r="A306">
        <v>77</v>
      </c>
      <c r="B306" t="s">
        <v>35</v>
      </c>
      <c r="C306">
        <v>5198</v>
      </c>
      <c r="D306">
        <v>3</v>
      </c>
      <c r="E306">
        <v>9</v>
      </c>
      <c r="F306">
        <v>122</v>
      </c>
    </row>
    <row r="307" spans="1:6" x14ac:dyDescent="0.25">
      <c r="A307">
        <v>77</v>
      </c>
      <c r="B307" t="s">
        <v>36</v>
      </c>
      <c r="C307">
        <v>5469</v>
      </c>
      <c r="D307">
        <v>2</v>
      </c>
      <c r="E307">
        <v>4</v>
      </c>
      <c r="F307">
        <v>105</v>
      </c>
    </row>
    <row r="308" spans="1:6" x14ac:dyDescent="0.25">
      <c r="A308">
        <v>77</v>
      </c>
      <c r="B308">
        <v>3</v>
      </c>
      <c r="C308">
        <v>3260</v>
      </c>
      <c r="D308">
        <v>4</v>
      </c>
      <c r="E308">
        <v>5</v>
      </c>
      <c r="F308">
        <v>92</v>
      </c>
    </row>
    <row r="309" spans="1:6" x14ac:dyDescent="0.25">
      <c r="A309">
        <v>77</v>
      </c>
      <c r="B309">
        <v>4</v>
      </c>
      <c r="C309">
        <v>5708</v>
      </c>
      <c r="D309">
        <v>1</v>
      </c>
      <c r="E309">
        <v>11</v>
      </c>
      <c r="F309">
        <v>121</v>
      </c>
    </row>
    <row r="310" spans="1:6" x14ac:dyDescent="0.25">
      <c r="A310">
        <v>78</v>
      </c>
      <c r="B310" t="s">
        <v>35</v>
      </c>
      <c r="C310">
        <v>5566</v>
      </c>
      <c r="D310">
        <v>1</v>
      </c>
      <c r="E310">
        <v>10</v>
      </c>
      <c r="F310">
        <v>151</v>
      </c>
    </row>
    <row r="311" spans="1:6" x14ac:dyDescent="0.25">
      <c r="A311">
        <v>78</v>
      </c>
      <c r="B311" t="s">
        <v>36</v>
      </c>
      <c r="C311">
        <v>3241</v>
      </c>
      <c r="D311">
        <v>4</v>
      </c>
      <c r="E311">
        <v>14</v>
      </c>
      <c r="F311">
        <v>135</v>
      </c>
    </row>
    <row r="312" spans="1:6" x14ac:dyDescent="0.25">
      <c r="A312">
        <v>78</v>
      </c>
      <c r="B312">
        <v>3</v>
      </c>
      <c r="C312">
        <v>4518</v>
      </c>
      <c r="D312">
        <v>3</v>
      </c>
      <c r="E312">
        <v>11</v>
      </c>
      <c r="F312">
        <v>155</v>
      </c>
    </row>
    <row r="313" spans="1:6" x14ac:dyDescent="0.25">
      <c r="A313">
        <v>78</v>
      </c>
      <c r="B313">
        <v>4</v>
      </c>
      <c r="C313">
        <v>4772</v>
      </c>
      <c r="D313">
        <v>2</v>
      </c>
      <c r="E313">
        <v>7</v>
      </c>
      <c r="F313">
        <v>156</v>
      </c>
    </row>
    <row r="314" spans="1:6" x14ac:dyDescent="0.25">
      <c r="A314">
        <v>79</v>
      </c>
      <c r="B314" t="s">
        <v>35</v>
      </c>
      <c r="C314">
        <v>5267</v>
      </c>
      <c r="D314">
        <v>3</v>
      </c>
      <c r="E314">
        <v>3</v>
      </c>
      <c r="F314">
        <v>160</v>
      </c>
    </row>
    <row r="315" spans="1:6" x14ac:dyDescent="0.25">
      <c r="A315">
        <v>79</v>
      </c>
      <c r="B315" t="s">
        <v>36</v>
      </c>
      <c r="C315">
        <v>5325</v>
      </c>
      <c r="D315">
        <v>2</v>
      </c>
      <c r="E315">
        <v>8</v>
      </c>
      <c r="F315">
        <v>143</v>
      </c>
    </row>
    <row r="316" spans="1:6" x14ac:dyDescent="0.25">
      <c r="A316">
        <v>79</v>
      </c>
      <c r="B316">
        <v>3</v>
      </c>
      <c r="C316">
        <v>4251</v>
      </c>
      <c r="D316">
        <v>4</v>
      </c>
      <c r="E316">
        <v>6</v>
      </c>
      <c r="F316">
        <v>134</v>
      </c>
    </row>
    <row r="317" spans="1:6" x14ac:dyDescent="0.25">
      <c r="A317">
        <v>79</v>
      </c>
      <c r="B317">
        <v>4</v>
      </c>
      <c r="C317">
        <v>5601</v>
      </c>
      <c r="D317">
        <v>1</v>
      </c>
      <c r="E317">
        <v>5</v>
      </c>
      <c r="F317">
        <v>148</v>
      </c>
    </row>
    <row r="318" spans="1:6" x14ac:dyDescent="0.25">
      <c r="A318">
        <v>80</v>
      </c>
      <c r="B318" t="s">
        <v>35</v>
      </c>
      <c r="C318">
        <v>6521</v>
      </c>
      <c r="D318">
        <v>2</v>
      </c>
      <c r="E318">
        <v>3</v>
      </c>
      <c r="F318">
        <v>167</v>
      </c>
    </row>
    <row r="319" spans="1:6" x14ac:dyDescent="0.25">
      <c r="A319">
        <v>80</v>
      </c>
      <c r="B319" t="s">
        <v>36</v>
      </c>
      <c r="C319">
        <v>7747</v>
      </c>
      <c r="D319">
        <v>1</v>
      </c>
      <c r="E319">
        <v>3</v>
      </c>
      <c r="F319">
        <v>165</v>
      </c>
    </row>
    <row r="320" spans="1:6" x14ac:dyDescent="0.25">
      <c r="A320">
        <v>80</v>
      </c>
      <c r="B320">
        <v>3</v>
      </c>
      <c r="C320">
        <v>2117</v>
      </c>
      <c r="D320">
        <v>4</v>
      </c>
      <c r="E320">
        <v>4</v>
      </c>
      <c r="F320">
        <v>64</v>
      </c>
    </row>
    <row r="321" spans="1:6" x14ac:dyDescent="0.25">
      <c r="A321">
        <v>80</v>
      </c>
      <c r="B321">
        <v>4</v>
      </c>
      <c r="C321">
        <v>3924</v>
      </c>
      <c r="D321">
        <v>3</v>
      </c>
      <c r="E321">
        <v>4</v>
      </c>
      <c r="F321">
        <v>70</v>
      </c>
    </row>
    <row r="322" spans="1:6" x14ac:dyDescent="0.25">
      <c r="A322">
        <v>81</v>
      </c>
      <c r="B322" t="s">
        <v>35</v>
      </c>
      <c r="C322">
        <v>7020</v>
      </c>
      <c r="D322">
        <v>1</v>
      </c>
      <c r="E322">
        <v>4</v>
      </c>
      <c r="F322">
        <v>134</v>
      </c>
    </row>
    <row r="323" spans="1:6" x14ac:dyDescent="0.25">
      <c r="A323">
        <v>81</v>
      </c>
      <c r="B323" t="s">
        <v>36</v>
      </c>
      <c r="C323">
        <v>6290</v>
      </c>
      <c r="D323">
        <v>2</v>
      </c>
      <c r="E323">
        <v>7</v>
      </c>
      <c r="F323">
        <v>130</v>
      </c>
    </row>
    <row r="324" spans="1:6" x14ac:dyDescent="0.25">
      <c r="A324">
        <v>81</v>
      </c>
      <c r="B324">
        <v>3</v>
      </c>
      <c r="C324">
        <v>4027</v>
      </c>
      <c r="D324">
        <v>3</v>
      </c>
      <c r="E324">
        <v>7</v>
      </c>
      <c r="F324">
        <v>93</v>
      </c>
    </row>
    <row r="325" spans="1:6" x14ac:dyDescent="0.25">
      <c r="A325">
        <v>81</v>
      </c>
      <c r="B325">
        <v>4</v>
      </c>
      <c r="C325">
        <v>3678</v>
      </c>
      <c r="D325">
        <v>4</v>
      </c>
      <c r="E325">
        <v>11</v>
      </c>
      <c r="F325">
        <v>121</v>
      </c>
    </row>
    <row r="326" spans="1:6" x14ac:dyDescent="0.25">
      <c r="A326">
        <v>82</v>
      </c>
      <c r="B326" t="s">
        <v>35</v>
      </c>
      <c r="C326">
        <v>6090</v>
      </c>
      <c r="D326">
        <v>1</v>
      </c>
      <c r="E326">
        <v>6</v>
      </c>
      <c r="F326">
        <v>157</v>
      </c>
    </row>
    <row r="327" spans="1:6" x14ac:dyDescent="0.25">
      <c r="A327">
        <v>82</v>
      </c>
      <c r="B327" t="s">
        <v>36</v>
      </c>
      <c r="C327">
        <v>4534</v>
      </c>
      <c r="D327">
        <v>4</v>
      </c>
      <c r="E327">
        <v>5</v>
      </c>
      <c r="F327">
        <v>124</v>
      </c>
    </row>
    <row r="328" spans="1:6" x14ac:dyDescent="0.25">
      <c r="A328">
        <v>82</v>
      </c>
      <c r="B328">
        <v>3</v>
      </c>
      <c r="C328">
        <v>4998</v>
      </c>
      <c r="D328">
        <v>3</v>
      </c>
      <c r="E328">
        <v>3</v>
      </c>
      <c r="F328">
        <v>166</v>
      </c>
    </row>
    <row r="329" spans="1:6" x14ac:dyDescent="0.25">
      <c r="A329">
        <v>82</v>
      </c>
      <c r="B329">
        <v>4</v>
      </c>
      <c r="C329">
        <v>5182</v>
      </c>
      <c r="D329">
        <v>2</v>
      </c>
      <c r="E329">
        <v>6</v>
      </c>
      <c r="F329">
        <v>129</v>
      </c>
    </row>
    <row r="330" spans="1:6" x14ac:dyDescent="0.25">
      <c r="A330">
        <v>83</v>
      </c>
      <c r="B330" t="s">
        <v>35</v>
      </c>
      <c r="C330">
        <v>5704</v>
      </c>
      <c r="D330">
        <v>1</v>
      </c>
      <c r="E330">
        <v>7</v>
      </c>
      <c r="F330">
        <v>177</v>
      </c>
    </row>
    <row r="331" spans="1:6" x14ac:dyDescent="0.25">
      <c r="A331">
        <v>83</v>
      </c>
      <c r="B331" t="s">
        <v>36</v>
      </c>
      <c r="C331">
        <v>4059</v>
      </c>
      <c r="D331">
        <v>4</v>
      </c>
      <c r="E331">
        <v>7</v>
      </c>
      <c r="F331">
        <v>153</v>
      </c>
    </row>
    <row r="332" spans="1:6" x14ac:dyDescent="0.25">
      <c r="A332">
        <v>83</v>
      </c>
      <c r="B332">
        <v>3</v>
      </c>
      <c r="C332">
        <v>4836</v>
      </c>
      <c r="D332">
        <v>3</v>
      </c>
      <c r="E332">
        <v>4</v>
      </c>
      <c r="F332">
        <v>165</v>
      </c>
    </row>
    <row r="333" spans="1:6" x14ac:dyDescent="0.25">
      <c r="A333">
        <v>83</v>
      </c>
      <c r="B333">
        <v>4</v>
      </c>
      <c r="C333">
        <v>5575</v>
      </c>
      <c r="D333">
        <v>2</v>
      </c>
      <c r="E333">
        <v>5</v>
      </c>
      <c r="F333">
        <v>157</v>
      </c>
    </row>
    <row r="334" spans="1:6" x14ac:dyDescent="0.25">
      <c r="A334">
        <v>84</v>
      </c>
      <c r="B334" t="s">
        <v>35</v>
      </c>
      <c r="C334">
        <v>7156</v>
      </c>
      <c r="D334">
        <v>1</v>
      </c>
      <c r="E334">
        <v>1</v>
      </c>
      <c r="F334">
        <v>177</v>
      </c>
    </row>
    <row r="335" spans="1:6" x14ac:dyDescent="0.25">
      <c r="A335">
        <v>84</v>
      </c>
      <c r="B335" t="s">
        <v>36</v>
      </c>
      <c r="C335">
        <v>3221</v>
      </c>
      <c r="D335">
        <v>4</v>
      </c>
      <c r="E335">
        <v>10</v>
      </c>
      <c r="F335">
        <v>145</v>
      </c>
    </row>
    <row r="336" spans="1:6" x14ac:dyDescent="0.25">
      <c r="A336">
        <v>84</v>
      </c>
      <c r="B336">
        <v>3</v>
      </c>
      <c r="C336">
        <v>4636</v>
      </c>
      <c r="D336">
        <v>3</v>
      </c>
      <c r="E336">
        <v>8</v>
      </c>
      <c r="F336">
        <v>161</v>
      </c>
    </row>
    <row r="337" spans="1:6" x14ac:dyDescent="0.25">
      <c r="A337">
        <v>84</v>
      </c>
      <c r="B337">
        <v>4</v>
      </c>
      <c r="C337">
        <v>5464</v>
      </c>
      <c r="D337">
        <v>2</v>
      </c>
      <c r="E337">
        <v>7</v>
      </c>
      <c r="F337">
        <v>161</v>
      </c>
    </row>
    <row r="338" spans="1:6" x14ac:dyDescent="0.25">
      <c r="A338">
        <v>85</v>
      </c>
      <c r="B338" t="s">
        <v>35</v>
      </c>
      <c r="C338">
        <v>3273</v>
      </c>
      <c r="D338">
        <v>3</v>
      </c>
      <c r="E338">
        <v>17</v>
      </c>
      <c r="F338">
        <v>144</v>
      </c>
    </row>
    <row r="339" spans="1:6" x14ac:dyDescent="0.25">
      <c r="A339">
        <v>85</v>
      </c>
      <c r="B339" t="s">
        <v>36</v>
      </c>
      <c r="C339">
        <v>2109</v>
      </c>
      <c r="D339">
        <v>4</v>
      </c>
      <c r="E339">
        <v>2</v>
      </c>
      <c r="F339">
        <v>49</v>
      </c>
    </row>
    <row r="340" spans="1:6" x14ac:dyDescent="0.25">
      <c r="A340">
        <v>85</v>
      </c>
      <c r="B340">
        <v>3</v>
      </c>
      <c r="C340">
        <v>3877</v>
      </c>
      <c r="D340">
        <v>2</v>
      </c>
      <c r="E340">
        <v>3</v>
      </c>
      <c r="F340">
        <v>42</v>
      </c>
    </row>
    <row r="341" spans="1:6" x14ac:dyDescent="0.25">
      <c r="A341">
        <v>85</v>
      </c>
      <c r="B341">
        <v>4</v>
      </c>
      <c r="C341">
        <v>6296</v>
      </c>
      <c r="D341">
        <v>1</v>
      </c>
      <c r="E341">
        <v>15</v>
      </c>
      <c r="F341">
        <v>133</v>
      </c>
    </row>
    <row r="342" spans="1:6" x14ac:dyDescent="0.25">
      <c r="A342">
        <v>86</v>
      </c>
      <c r="B342" t="s">
        <v>35</v>
      </c>
      <c r="C342">
        <v>5088</v>
      </c>
      <c r="D342">
        <v>4</v>
      </c>
      <c r="E342">
        <v>6</v>
      </c>
      <c r="F342">
        <v>154</v>
      </c>
    </row>
    <row r="343" spans="1:6" x14ac:dyDescent="0.25">
      <c r="A343">
        <v>86</v>
      </c>
      <c r="B343" t="s">
        <v>36</v>
      </c>
      <c r="C343">
        <v>5384</v>
      </c>
      <c r="D343">
        <v>2</v>
      </c>
      <c r="E343">
        <v>7</v>
      </c>
      <c r="F343">
        <v>162</v>
      </c>
    </row>
    <row r="344" spans="1:6" x14ac:dyDescent="0.25">
      <c r="A344">
        <v>86</v>
      </c>
      <c r="B344">
        <v>3</v>
      </c>
      <c r="C344">
        <v>5556</v>
      </c>
      <c r="D344">
        <v>1</v>
      </c>
      <c r="E344">
        <v>8</v>
      </c>
      <c r="F344">
        <v>136</v>
      </c>
    </row>
    <row r="345" spans="1:6" x14ac:dyDescent="0.25">
      <c r="A345">
        <v>86</v>
      </c>
      <c r="B345">
        <v>4</v>
      </c>
      <c r="C345">
        <v>5341</v>
      </c>
      <c r="D345">
        <v>3</v>
      </c>
      <c r="E345">
        <v>5</v>
      </c>
      <c r="F345">
        <v>160</v>
      </c>
    </row>
    <row r="346" spans="1:6" x14ac:dyDescent="0.25">
      <c r="A346">
        <v>87</v>
      </c>
      <c r="B346" t="s">
        <v>35</v>
      </c>
      <c r="C346">
        <v>4347</v>
      </c>
      <c r="D346">
        <v>4</v>
      </c>
      <c r="E346">
        <v>8</v>
      </c>
      <c r="F346">
        <v>132</v>
      </c>
    </row>
    <row r="347" spans="1:6" x14ac:dyDescent="0.25">
      <c r="A347">
        <v>87</v>
      </c>
      <c r="B347" t="s">
        <v>36</v>
      </c>
      <c r="C347">
        <v>6185</v>
      </c>
      <c r="D347">
        <v>1</v>
      </c>
      <c r="E347">
        <v>6</v>
      </c>
      <c r="F347">
        <v>115</v>
      </c>
    </row>
    <row r="348" spans="1:6" x14ac:dyDescent="0.25">
      <c r="A348">
        <v>87</v>
      </c>
      <c r="B348">
        <v>3</v>
      </c>
      <c r="C348">
        <v>4811</v>
      </c>
      <c r="D348">
        <v>3</v>
      </c>
      <c r="E348">
        <v>8</v>
      </c>
      <c r="F348">
        <v>102</v>
      </c>
    </row>
    <row r="349" spans="1:6" x14ac:dyDescent="0.25">
      <c r="A349">
        <v>87</v>
      </c>
      <c r="B349">
        <v>4</v>
      </c>
      <c r="C349">
        <v>5625</v>
      </c>
      <c r="D349">
        <v>2</v>
      </c>
      <c r="E349">
        <v>11</v>
      </c>
      <c r="F349">
        <v>135</v>
      </c>
    </row>
    <row r="350" spans="1:6" x14ac:dyDescent="0.25">
      <c r="A350">
        <v>88</v>
      </c>
      <c r="B350" t="s">
        <v>35</v>
      </c>
      <c r="C350">
        <v>4592</v>
      </c>
      <c r="D350">
        <v>3</v>
      </c>
      <c r="E350">
        <v>10</v>
      </c>
      <c r="F350">
        <v>160</v>
      </c>
    </row>
    <row r="351" spans="1:6" x14ac:dyDescent="0.25">
      <c r="A351">
        <v>88</v>
      </c>
      <c r="B351" t="s">
        <v>36</v>
      </c>
      <c r="C351">
        <v>4685</v>
      </c>
      <c r="D351">
        <v>2</v>
      </c>
      <c r="E351">
        <v>17</v>
      </c>
      <c r="F351">
        <v>131</v>
      </c>
    </row>
    <row r="352" spans="1:6" x14ac:dyDescent="0.25">
      <c r="A352">
        <v>88</v>
      </c>
      <c r="B352">
        <v>3</v>
      </c>
      <c r="C352">
        <v>2271</v>
      </c>
      <c r="D352">
        <v>4</v>
      </c>
      <c r="E352">
        <v>13</v>
      </c>
      <c r="F352">
        <v>127</v>
      </c>
    </row>
    <row r="353" spans="1:6" x14ac:dyDescent="0.25">
      <c r="A353">
        <v>88</v>
      </c>
      <c r="B353">
        <v>4</v>
      </c>
      <c r="C353">
        <v>5844</v>
      </c>
      <c r="D353">
        <v>1</v>
      </c>
      <c r="E353">
        <v>8</v>
      </c>
      <c r="F353">
        <v>160</v>
      </c>
    </row>
    <row r="354" spans="1:6" x14ac:dyDescent="0.25">
      <c r="A354">
        <v>89</v>
      </c>
      <c r="B354" t="s">
        <v>35</v>
      </c>
      <c r="C354">
        <v>5869</v>
      </c>
      <c r="D354">
        <v>1</v>
      </c>
      <c r="E354">
        <v>9</v>
      </c>
      <c r="F354">
        <v>159</v>
      </c>
    </row>
    <row r="355" spans="1:6" x14ac:dyDescent="0.25">
      <c r="A355">
        <v>89</v>
      </c>
      <c r="B355" t="s">
        <v>36</v>
      </c>
      <c r="C355">
        <v>5161</v>
      </c>
      <c r="D355">
        <v>3</v>
      </c>
      <c r="E355">
        <v>4</v>
      </c>
      <c r="F355">
        <v>152</v>
      </c>
    </row>
    <row r="356" spans="1:6" x14ac:dyDescent="0.25">
      <c r="A356">
        <v>89</v>
      </c>
      <c r="B356">
        <v>3</v>
      </c>
      <c r="C356">
        <v>3934</v>
      </c>
      <c r="D356">
        <v>4</v>
      </c>
      <c r="E356">
        <v>4</v>
      </c>
      <c r="F356">
        <v>146</v>
      </c>
    </row>
    <row r="357" spans="1:6" x14ac:dyDescent="0.25">
      <c r="A357">
        <v>89</v>
      </c>
      <c r="B357">
        <v>4</v>
      </c>
      <c r="C357">
        <v>5225</v>
      </c>
      <c r="D357">
        <v>2</v>
      </c>
      <c r="E357">
        <v>9</v>
      </c>
      <c r="F357">
        <v>161</v>
      </c>
    </row>
    <row r="358" spans="1:6" x14ac:dyDescent="0.25">
      <c r="A358">
        <v>90</v>
      </c>
      <c r="B358" t="s">
        <v>35</v>
      </c>
      <c r="C358">
        <v>6898</v>
      </c>
      <c r="D358">
        <v>1</v>
      </c>
      <c r="E358">
        <v>9</v>
      </c>
      <c r="F358">
        <v>155</v>
      </c>
    </row>
    <row r="359" spans="1:6" x14ac:dyDescent="0.25">
      <c r="A359">
        <v>90</v>
      </c>
      <c r="B359" t="s">
        <v>36</v>
      </c>
      <c r="C359">
        <v>5828</v>
      </c>
      <c r="D359">
        <v>2</v>
      </c>
      <c r="E359">
        <v>5</v>
      </c>
      <c r="F359">
        <v>160</v>
      </c>
    </row>
    <row r="360" spans="1:6" x14ac:dyDescent="0.25">
      <c r="A360">
        <v>90</v>
      </c>
      <c r="B360">
        <v>3</v>
      </c>
      <c r="C360">
        <v>4168</v>
      </c>
      <c r="D360">
        <v>3</v>
      </c>
      <c r="E360">
        <v>7</v>
      </c>
      <c r="F360">
        <v>94</v>
      </c>
    </row>
    <row r="361" spans="1:6" x14ac:dyDescent="0.25">
      <c r="A361">
        <v>90</v>
      </c>
      <c r="B361">
        <v>4</v>
      </c>
      <c r="C361">
        <v>3978</v>
      </c>
      <c r="D361">
        <v>4</v>
      </c>
      <c r="E361">
        <v>8</v>
      </c>
      <c r="F361">
        <v>108</v>
      </c>
    </row>
    <row r="362" spans="1:6" x14ac:dyDescent="0.25">
      <c r="A362">
        <v>91</v>
      </c>
      <c r="B362" t="s">
        <v>35</v>
      </c>
      <c r="C362">
        <v>6002</v>
      </c>
      <c r="D362">
        <v>1</v>
      </c>
      <c r="E362">
        <v>10</v>
      </c>
      <c r="F362">
        <v>153</v>
      </c>
    </row>
    <row r="363" spans="1:6" x14ac:dyDescent="0.25">
      <c r="A363">
        <v>91</v>
      </c>
      <c r="B363" t="s">
        <v>36</v>
      </c>
      <c r="C363">
        <v>4886</v>
      </c>
      <c r="D363">
        <v>2</v>
      </c>
      <c r="E363">
        <v>6</v>
      </c>
      <c r="F363">
        <v>142</v>
      </c>
    </row>
    <row r="364" spans="1:6" x14ac:dyDescent="0.25">
      <c r="A364">
        <v>91</v>
      </c>
      <c r="B364">
        <v>3</v>
      </c>
      <c r="C364">
        <v>4796</v>
      </c>
      <c r="D364">
        <v>3</v>
      </c>
      <c r="E364">
        <v>10</v>
      </c>
      <c r="F364">
        <v>131</v>
      </c>
    </row>
    <row r="365" spans="1:6" x14ac:dyDescent="0.25">
      <c r="A365">
        <v>91</v>
      </c>
      <c r="B365">
        <v>4</v>
      </c>
      <c r="C365">
        <v>4755</v>
      </c>
      <c r="D365">
        <v>4</v>
      </c>
      <c r="E365">
        <v>10</v>
      </c>
      <c r="F365">
        <v>129</v>
      </c>
    </row>
    <row r="366" spans="1:6" x14ac:dyDescent="0.25">
      <c r="A366">
        <v>92</v>
      </c>
      <c r="B366" t="s">
        <v>35</v>
      </c>
      <c r="C366">
        <v>10582</v>
      </c>
      <c r="D366">
        <v>1</v>
      </c>
      <c r="E366">
        <v>7</v>
      </c>
      <c r="F366">
        <v>143</v>
      </c>
    </row>
    <row r="367" spans="1:6" x14ac:dyDescent="0.25">
      <c r="A367">
        <v>92</v>
      </c>
      <c r="B367" t="s">
        <v>36</v>
      </c>
      <c r="C367">
        <v>1163</v>
      </c>
      <c r="D367">
        <v>4</v>
      </c>
      <c r="E367">
        <v>3</v>
      </c>
      <c r="F367">
        <v>30</v>
      </c>
    </row>
    <row r="368" spans="1:6" x14ac:dyDescent="0.25">
      <c r="A368">
        <v>92</v>
      </c>
      <c r="B368">
        <v>3</v>
      </c>
      <c r="C368">
        <v>5857</v>
      </c>
      <c r="D368">
        <v>2</v>
      </c>
      <c r="E368">
        <v>8</v>
      </c>
      <c r="F368">
        <v>138</v>
      </c>
    </row>
    <row r="369" spans="1:6" x14ac:dyDescent="0.25">
      <c r="A369">
        <v>92</v>
      </c>
      <c r="B369">
        <v>4</v>
      </c>
      <c r="C369">
        <v>3316</v>
      </c>
      <c r="D369">
        <v>3</v>
      </c>
      <c r="E369">
        <v>2</v>
      </c>
      <c r="F369">
        <v>29</v>
      </c>
    </row>
    <row r="370" spans="1:6" x14ac:dyDescent="0.25">
      <c r="A370">
        <v>93</v>
      </c>
      <c r="B370" t="s">
        <v>35</v>
      </c>
      <c r="C370">
        <v>6046</v>
      </c>
      <c r="D370">
        <v>1</v>
      </c>
      <c r="E370">
        <v>12</v>
      </c>
      <c r="F370">
        <v>139</v>
      </c>
    </row>
    <row r="371" spans="1:6" x14ac:dyDescent="0.25">
      <c r="A371">
        <v>93</v>
      </c>
      <c r="B371" t="s">
        <v>36</v>
      </c>
      <c r="C371">
        <v>5518</v>
      </c>
      <c r="D371">
        <v>2</v>
      </c>
      <c r="E371">
        <v>11</v>
      </c>
      <c r="F371">
        <v>146</v>
      </c>
    </row>
    <row r="372" spans="1:6" x14ac:dyDescent="0.25">
      <c r="A372">
        <v>93</v>
      </c>
      <c r="B372">
        <v>3</v>
      </c>
      <c r="C372">
        <v>5388</v>
      </c>
      <c r="D372">
        <v>3</v>
      </c>
      <c r="E372">
        <v>7</v>
      </c>
      <c r="F372">
        <v>110</v>
      </c>
    </row>
    <row r="373" spans="1:6" x14ac:dyDescent="0.25">
      <c r="A373">
        <v>93</v>
      </c>
      <c r="B373">
        <v>4</v>
      </c>
      <c r="C373">
        <v>4452</v>
      </c>
      <c r="D373">
        <v>4</v>
      </c>
      <c r="E373">
        <v>11</v>
      </c>
      <c r="F373">
        <v>143</v>
      </c>
    </row>
    <row r="374" spans="1:6" x14ac:dyDescent="0.25">
      <c r="A374">
        <v>94</v>
      </c>
      <c r="B374" t="s">
        <v>35</v>
      </c>
      <c r="C374">
        <v>5329</v>
      </c>
      <c r="D374">
        <v>2</v>
      </c>
      <c r="E374">
        <v>8</v>
      </c>
      <c r="F374">
        <v>139</v>
      </c>
    </row>
    <row r="375" spans="1:6" x14ac:dyDescent="0.25">
      <c r="A375">
        <v>94</v>
      </c>
      <c r="B375" t="s">
        <v>36</v>
      </c>
      <c r="C375">
        <v>2962</v>
      </c>
      <c r="D375">
        <v>3</v>
      </c>
      <c r="E375">
        <v>5</v>
      </c>
      <c r="F375">
        <v>46</v>
      </c>
    </row>
    <row r="376" spans="1:6" x14ac:dyDescent="0.25">
      <c r="A376">
        <v>94</v>
      </c>
      <c r="B376">
        <v>3</v>
      </c>
      <c r="C376">
        <v>8645</v>
      </c>
      <c r="D376">
        <v>1</v>
      </c>
      <c r="E376">
        <v>14</v>
      </c>
      <c r="F376">
        <v>136</v>
      </c>
    </row>
    <row r="377" spans="1:6" x14ac:dyDescent="0.25">
      <c r="A377">
        <v>94</v>
      </c>
      <c r="B377">
        <v>4</v>
      </c>
      <c r="C377">
        <v>1786</v>
      </c>
      <c r="D377">
        <v>4</v>
      </c>
      <c r="E377">
        <v>7</v>
      </c>
      <c r="F377">
        <v>45</v>
      </c>
    </row>
    <row r="378" spans="1:6" x14ac:dyDescent="0.25">
      <c r="A378">
        <v>95</v>
      </c>
      <c r="B378" t="s">
        <v>35</v>
      </c>
      <c r="C378">
        <v>5497</v>
      </c>
      <c r="D378">
        <v>3</v>
      </c>
      <c r="E378">
        <v>3</v>
      </c>
      <c r="F378">
        <v>158</v>
      </c>
    </row>
    <row r="379" spans="1:6" x14ac:dyDescent="0.25">
      <c r="A379">
        <v>95</v>
      </c>
      <c r="B379" t="s">
        <v>36</v>
      </c>
      <c r="C379">
        <v>5949</v>
      </c>
      <c r="D379">
        <v>2</v>
      </c>
      <c r="E379">
        <v>10</v>
      </c>
      <c r="F379">
        <v>161</v>
      </c>
    </row>
    <row r="380" spans="1:6" x14ac:dyDescent="0.25">
      <c r="A380">
        <v>95</v>
      </c>
      <c r="B380">
        <v>3</v>
      </c>
      <c r="C380">
        <v>3506</v>
      </c>
      <c r="D380">
        <v>4</v>
      </c>
      <c r="E380">
        <v>6</v>
      </c>
      <c r="F380">
        <v>147</v>
      </c>
    </row>
    <row r="381" spans="1:6" x14ac:dyDescent="0.25">
      <c r="A381">
        <v>95</v>
      </c>
      <c r="B381">
        <v>4</v>
      </c>
      <c r="C381">
        <v>6014</v>
      </c>
      <c r="D381">
        <v>1</v>
      </c>
      <c r="E381">
        <v>10</v>
      </c>
      <c r="F381">
        <v>151</v>
      </c>
    </row>
    <row r="382" spans="1:6" x14ac:dyDescent="0.25">
      <c r="A382">
        <v>96</v>
      </c>
      <c r="B382" t="s">
        <v>35</v>
      </c>
      <c r="C382">
        <v>4176</v>
      </c>
      <c r="D382">
        <v>3</v>
      </c>
      <c r="E382">
        <v>10</v>
      </c>
      <c r="F382">
        <v>107</v>
      </c>
    </row>
    <row r="383" spans="1:6" x14ac:dyDescent="0.25">
      <c r="A383">
        <v>96</v>
      </c>
      <c r="B383" t="s">
        <v>36</v>
      </c>
      <c r="C383">
        <v>7729</v>
      </c>
      <c r="D383">
        <v>1</v>
      </c>
      <c r="E383">
        <v>10</v>
      </c>
      <c r="F383">
        <v>123</v>
      </c>
    </row>
    <row r="384" spans="1:6" x14ac:dyDescent="0.25">
      <c r="A384">
        <v>96</v>
      </c>
      <c r="B384">
        <v>3</v>
      </c>
      <c r="C384">
        <v>1065</v>
      </c>
      <c r="D384">
        <v>4</v>
      </c>
      <c r="E384">
        <v>3</v>
      </c>
      <c r="F384">
        <v>45</v>
      </c>
    </row>
    <row r="385" spans="1:6" x14ac:dyDescent="0.25">
      <c r="A385">
        <v>96</v>
      </c>
      <c r="B385">
        <v>4</v>
      </c>
      <c r="C385">
        <v>5191</v>
      </c>
      <c r="D385">
        <v>2</v>
      </c>
      <c r="E385">
        <v>3</v>
      </c>
      <c r="F385">
        <v>52</v>
      </c>
    </row>
    <row r="386" spans="1:6" x14ac:dyDescent="0.25">
      <c r="A386">
        <v>97</v>
      </c>
      <c r="B386" t="s">
        <v>35</v>
      </c>
      <c r="C386">
        <v>7241</v>
      </c>
      <c r="D386">
        <v>1</v>
      </c>
      <c r="E386">
        <v>4</v>
      </c>
      <c r="F386">
        <v>123</v>
      </c>
    </row>
    <row r="387" spans="1:6" x14ac:dyDescent="0.25">
      <c r="A387">
        <v>97</v>
      </c>
      <c r="B387" t="s">
        <v>36</v>
      </c>
      <c r="C387">
        <v>2738</v>
      </c>
      <c r="D387">
        <v>4</v>
      </c>
      <c r="E387">
        <v>5</v>
      </c>
      <c r="F387">
        <v>58</v>
      </c>
    </row>
    <row r="388" spans="1:6" x14ac:dyDescent="0.25">
      <c r="A388">
        <v>97</v>
      </c>
      <c r="B388">
        <v>3</v>
      </c>
      <c r="C388">
        <v>5701</v>
      </c>
      <c r="D388">
        <v>3</v>
      </c>
      <c r="E388">
        <v>8</v>
      </c>
      <c r="F388">
        <v>105</v>
      </c>
    </row>
    <row r="389" spans="1:6" x14ac:dyDescent="0.25">
      <c r="A389">
        <v>97</v>
      </c>
      <c r="B389">
        <v>4</v>
      </c>
      <c r="C389">
        <v>6520</v>
      </c>
      <c r="D389">
        <v>2</v>
      </c>
      <c r="E389">
        <v>9</v>
      </c>
      <c r="F389">
        <v>113</v>
      </c>
    </row>
    <row r="390" spans="1:6" x14ac:dyDescent="0.25">
      <c r="A390">
        <v>98</v>
      </c>
      <c r="B390" t="s">
        <v>35</v>
      </c>
      <c r="C390">
        <v>4210</v>
      </c>
      <c r="D390">
        <v>2</v>
      </c>
      <c r="E390">
        <v>6</v>
      </c>
      <c r="F390">
        <v>120</v>
      </c>
    </row>
    <row r="391" spans="1:6" x14ac:dyDescent="0.25">
      <c r="A391">
        <v>98</v>
      </c>
      <c r="B391" t="s">
        <v>36</v>
      </c>
      <c r="C391">
        <v>1500</v>
      </c>
      <c r="D391">
        <v>3</v>
      </c>
      <c r="E391">
        <v>1</v>
      </c>
      <c r="F391">
        <v>25</v>
      </c>
    </row>
    <row r="392" spans="1:6" x14ac:dyDescent="0.25">
      <c r="A392">
        <v>98</v>
      </c>
      <c r="B392">
        <v>3</v>
      </c>
      <c r="C392">
        <v>14593</v>
      </c>
      <c r="D392">
        <v>1</v>
      </c>
      <c r="E392">
        <v>6</v>
      </c>
      <c r="F392">
        <v>125</v>
      </c>
    </row>
    <row r="393" spans="1:6" x14ac:dyDescent="0.25">
      <c r="A393">
        <v>98</v>
      </c>
      <c r="B393">
        <v>4</v>
      </c>
      <c r="C393">
        <v>971</v>
      </c>
      <c r="D393">
        <v>4</v>
      </c>
      <c r="E393">
        <v>1</v>
      </c>
      <c r="F393">
        <v>22</v>
      </c>
    </row>
    <row r="394" spans="1:6" x14ac:dyDescent="0.25">
      <c r="A394">
        <v>99</v>
      </c>
      <c r="B394" t="s">
        <v>35</v>
      </c>
      <c r="C394">
        <v>7846</v>
      </c>
      <c r="D394">
        <v>2</v>
      </c>
      <c r="E394">
        <v>8</v>
      </c>
      <c r="F394">
        <v>137</v>
      </c>
    </row>
    <row r="395" spans="1:6" x14ac:dyDescent="0.25">
      <c r="A395">
        <v>99</v>
      </c>
      <c r="B395" t="s">
        <v>36</v>
      </c>
      <c r="C395">
        <v>10324</v>
      </c>
      <c r="D395">
        <v>1</v>
      </c>
      <c r="E395">
        <v>9</v>
      </c>
      <c r="F395">
        <v>136</v>
      </c>
    </row>
    <row r="396" spans="1:6" x14ac:dyDescent="0.25">
      <c r="A396">
        <v>99</v>
      </c>
      <c r="B396">
        <v>3</v>
      </c>
      <c r="C396">
        <v>533</v>
      </c>
      <c r="D396">
        <v>4</v>
      </c>
      <c r="E396">
        <v>3</v>
      </c>
      <c r="F396">
        <v>368</v>
      </c>
    </row>
    <row r="397" spans="1:6" x14ac:dyDescent="0.25">
      <c r="A397">
        <v>99</v>
      </c>
      <c r="B397">
        <v>4</v>
      </c>
      <c r="C397">
        <v>2083</v>
      </c>
      <c r="D397">
        <v>3</v>
      </c>
      <c r="E397">
        <v>0</v>
      </c>
      <c r="F397">
        <v>374</v>
      </c>
    </row>
    <row r="398" spans="1:6" x14ac:dyDescent="0.25">
      <c r="A398">
        <v>100</v>
      </c>
      <c r="B398" t="s">
        <v>35</v>
      </c>
      <c r="C398">
        <v>5564</v>
      </c>
      <c r="D398">
        <v>2</v>
      </c>
      <c r="E398">
        <v>3</v>
      </c>
      <c r="F398">
        <v>169</v>
      </c>
    </row>
    <row r="399" spans="1:6" x14ac:dyDescent="0.25">
      <c r="A399">
        <v>100</v>
      </c>
      <c r="B399" t="s">
        <v>36</v>
      </c>
      <c r="C399">
        <v>5999</v>
      </c>
      <c r="D399">
        <v>1</v>
      </c>
      <c r="E399">
        <v>3</v>
      </c>
      <c r="F399">
        <v>180</v>
      </c>
    </row>
    <row r="400" spans="1:6" x14ac:dyDescent="0.25">
      <c r="A400">
        <v>100</v>
      </c>
      <c r="B400">
        <v>3</v>
      </c>
      <c r="C400">
        <v>5216</v>
      </c>
      <c r="D400">
        <v>4</v>
      </c>
      <c r="E400">
        <v>3</v>
      </c>
      <c r="F400">
        <v>169</v>
      </c>
    </row>
    <row r="401" spans="1:6" x14ac:dyDescent="0.25">
      <c r="A401">
        <v>100</v>
      </c>
      <c r="B401">
        <v>4</v>
      </c>
      <c r="C401">
        <v>5506</v>
      </c>
      <c r="D401">
        <v>3</v>
      </c>
      <c r="E401">
        <v>3</v>
      </c>
      <c r="F401">
        <v>183</v>
      </c>
    </row>
    <row r="402" spans="1:6" x14ac:dyDescent="0.25">
      <c r="A402">
        <v>101</v>
      </c>
      <c r="B402" t="s">
        <v>35</v>
      </c>
      <c r="C402">
        <v>10593</v>
      </c>
      <c r="D402">
        <v>1</v>
      </c>
      <c r="E402">
        <v>3</v>
      </c>
      <c r="F402">
        <v>155</v>
      </c>
    </row>
    <row r="403" spans="1:6" x14ac:dyDescent="0.25">
      <c r="A403">
        <v>101</v>
      </c>
      <c r="B403" t="s">
        <v>36</v>
      </c>
      <c r="C403">
        <v>1828</v>
      </c>
      <c r="D403">
        <v>3</v>
      </c>
      <c r="E403">
        <v>3</v>
      </c>
      <c r="F403">
        <v>51</v>
      </c>
    </row>
    <row r="404" spans="1:6" x14ac:dyDescent="0.25">
      <c r="A404">
        <v>101</v>
      </c>
      <c r="B404">
        <v>3</v>
      </c>
      <c r="C404">
        <v>7727</v>
      </c>
      <c r="D404">
        <v>2</v>
      </c>
      <c r="E404">
        <v>1</v>
      </c>
      <c r="F404">
        <v>159</v>
      </c>
    </row>
    <row r="405" spans="1:6" x14ac:dyDescent="0.25">
      <c r="A405">
        <v>101</v>
      </c>
      <c r="B405">
        <v>4</v>
      </c>
      <c r="C405">
        <v>1592</v>
      </c>
      <c r="D405">
        <v>4</v>
      </c>
      <c r="E405">
        <v>3</v>
      </c>
      <c r="F405">
        <v>51</v>
      </c>
    </row>
    <row r="406" spans="1:6" x14ac:dyDescent="0.25">
      <c r="A406">
        <v>102</v>
      </c>
      <c r="B406" t="s">
        <v>35</v>
      </c>
      <c r="C406">
        <v>7416</v>
      </c>
      <c r="D406">
        <v>1</v>
      </c>
      <c r="E406">
        <v>3</v>
      </c>
      <c r="F406">
        <v>139</v>
      </c>
    </row>
    <row r="407" spans="1:6" x14ac:dyDescent="0.25">
      <c r="A407">
        <v>102</v>
      </c>
      <c r="B407" t="s">
        <v>36</v>
      </c>
      <c r="C407">
        <v>4078</v>
      </c>
      <c r="D407">
        <v>3</v>
      </c>
      <c r="E407">
        <v>9</v>
      </c>
      <c r="F407">
        <v>89</v>
      </c>
    </row>
    <row r="408" spans="1:6" x14ac:dyDescent="0.25">
      <c r="A408">
        <v>102</v>
      </c>
      <c r="B408">
        <v>3</v>
      </c>
      <c r="C408">
        <v>2941</v>
      </c>
      <c r="D408">
        <v>4</v>
      </c>
      <c r="E408">
        <v>9</v>
      </c>
      <c r="F408">
        <v>85</v>
      </c>
    </row>
    <row r="409" spans="1:6" x14ac:dyDescent="0.25">
      <c r="A409">
        <v>102</v>
      </c>
      <c r="B409">
        <v>4</v>
      </c>
      <c r="C409">
        <v>6857</v>
      </c>
      <c r="D409">
        <v>2</v>
      </c>
      <c r="E409">
        <v>9</v>
      </c>
      <c r="F409">
        <v>130</v>
      </c>
    </row>
    <row r="410" spans="1:6" x14ac:dyDescent="0.25">
      <c r="A410">
        <v>103</v>
      </c>
      <c r="B410" t="s">
        <v>35</v>
      </c>
      <c r="C410">
        <v>2498</v>
      </c>
      <c r="D410">
        <v>2</v>
      </c>
      <c r="E410">
        <v>1</v>
      </c>
      <c r="F410">
        <v>64</v>
      </c>
    </row>
    <row r="411" spans="1:6" x14ac:dyDescent="0.25">
      <c r="A411">
        <v>103</v>
      </c>
      <c r="B411" t="s">
        <v>36</v>
      </c>
      <c r="C411">
        <v>810</v>
      </c>
      <c r="D411">
        <v>3</v>
      </c>
      <c r="E411">
        <v>2</v>
      </c>
      <c r="F411">
        <v>17</v>
      </c>
    </row>
    <row r="412" spans="1:6" x14ac:dyDescent="0.25">
      <c r="A412">
        <v>103</v>
      </c>
      <c r="B412">
        <v>3</v>
      </c>
      <c r="C412">
        <v>162</v>
      </c>
      <c r="D412">
        <v>4</v>
      </c>
      <c r="E412">
        <v>55</v>
      </c>
      <c r="F412">
        <v>65</v>
      </c>
    </row>
    <row r="413" spans="1:6" x14ac:dyDescent="0.25">
      <c r="A413">
        <v>103</v>
      </c>
      <c r="B413">
        <v>4</v>
      </c>
      <c r="C413">
        <v>2903</v>
      </c>
      <c r="D413">
        <v>1</v>
      </c>
      <c r="E413">
        <v>55</v>
      </c>
      <c r="F413">
        <v>23</v>
      </c>
    </row>
    <row r="414" spans="1:6" x14ac:dyDescent="0.25">
      <c r="A414">
        <v>104</v>
      </c>
      <c r="B414" t="s">
        <v>35</v>
      </c>
      <c r="C414">
        <v>4561</v>
      </c>
      <c r="D414">
        <v>4</v>
      </c>
      <c r="E414">
        <v>6</v>
      </c>
      <c r="F414">
        <v>118</v>
      </c>
    </row>
    <row r="415" spans="1:6" x14ac:dyDescent="0.25">
      <c r="A415">
        <v>104</v>
      </c>
      <c r="B415" t="s">
        <v>36</v>
      </c>
      <c r="C415">
        <v>4935</v>
      </c>
      <c r="D415">
        <v>2</v>
      </c>
      <c r="E415">
        <v>9</v>
      </c>
      <c r="F415">
        <v>141</v>
      </c>
    </row>
    <row r="416" spans="1:6" x14ac:dyDescent="0.25">
      <c r="A416">
        <v>104</v>
      </c>
      <c r="B416">
        <v>3</v>
      </c>
      <c r="C416">
        <v>6209</v>
      </c>
      <c r="D416">
        <v>1</v>
      </c>
      <c r="E416">
        <v>7</v>
      </c>
      <c r="F416">
        <v>122</v>
      </c>
    </row>
    <row r="417" spans="1:6" x14ac:dyDescent="0.25">
      <c r="A417">
        <v>104</v>
      </c>
      <c r="B417">
        <v>4</v>
      </c>
      <c r="C417">
        <v>4810</v>
      </c>
      <c r="D417">
        <v>3</v>
      </c>
      <c r="E417">
        <v>8</v>
      </c>
      <c r="F417">
        <v>137</v>
      </c>
    </row>
    <row r="418" spans="1:6" x14ac:dyDescent="0.25">
      <c r="A418">
        <v>105</v>
      </c>
      <c r="B418" t="s">
        <v>35</v>
      </c>
      <c r="C418">
        <v>7911</v>
      </c>
      <c r="D418">
        <v>2</v>
      </c>
      <c r="E418">
        <v>2</v>
      </c>
      <c r="F418">
        <v>159</v>
      </c>
    </row>
    <row r="419" spans="1:6" x14ac:dyDescent="0.25">
      <c r="A419">
        <v>105</v>
      </c>
      <c r="B419" t="s">
        <v>36</v>
      </c>
      <c r="C419">
        <v>2689</v>
      </c>
      <c r="D419">
        <v>3</v>
      </c>
      <c r="E419">
        <v>1</v>
      </c>
      <c r="F419">
        <v>29</v>
      </c>
    </row>
    <row r="420" spans="1:6" x14ac:dyDescent="0.25">
      <c r="A420">
        <v>105</v>
      </c>
      <c r="B420">
        <v>3</v>
      </c>
      <c r="C420">
        <v>8930</v>
      </c>
      <c r="D420">
        <v>1</v>
      </c>
      <c r="E420">
        <v>3</v>
      </c>
      <c r="F420">
        <v>165</v>
      </c>
    </row>
    <row r="421" spans="1:6" x14ac:dyDescent="0.25">
      <c r="A421">
        <v>105</v>
      </c>
      <c r="B421">
        <v>4</v>
      </c>
      <c r="C421">
        <v>964</v>
      </c>
      <c r="D421">
        <v>4</v>
      </c>
      <c r="E421">
        <v>0</v>
      </c>
      <c r="F421">
        <v>29</v>
      </c>
    </row>
    <row r="422" spans="1:6" x14ac:dyDescent="0.25">
      <c r="A422">
        <v>106</v>
      </c>
      <c r="B422" t="s">
        <v>35</v>
      </c>
      <c r="C422">
        <v>4853</v>
      </c>
      <c r="D422">
        <v>2</v>
      </c>
      <c r="E422">
        <v>2</v>
      </c>
      <c r="F422">
        <v>140</v>
      </c>
    </row>
    <row r="423" spans="1:6" x14ac:dyDescent="0.25">
      <c r="A423">
        <v>106</v>
      </c>
      <c r="B423" t="s">
        <v>36</v>
      </c>
      <c r="C423">
        <v>3341</v>
      </c>
      <c r="D423">
        <v>3</v>
      </c>
      <c r="E423">
        <v>3</v>
      </c>
      <c r="F423">
        <v>70</v>
      </c>
    </row>
    <row r="424" spans="1:6" x14ac:dyDescent="0.25">
      <c r="A424">
        <v>106</v>
      </c>
      <c r="B424">
        <v>3</v>
      </c>
      <c r="C424">
        <v>2991</v>
      </c>
      <c r="D424">
        <v>4</v>
      </c>
      <c r="E424">
        <v>3</v>
      </c>
      <c r="F424">
        <v>72</v>
      </c>
    </row>
    <row r="425" spans="1:6" x14ac:dyDescent="0.25">
      <c r="A425">
        <v>106</v>
      </c>
      <c r="B425">
        <v>4</v>
      </c>
      <c r="C425">
        <v>9228</v>
      </c>
      <c r="D425">
        <v>1</v>
      </c>
      <c r="E425">
        <v>2</v>
      </c>
      <c r="F425">
        <v>150</v>
      </c>
    </row>
    <row r="426" spans="1:6" x14ac:dyDescent="0.25">
      <c r="A426">
        <v>107</v>
      </c>
      <c r="B426" t="s">
        <v>35</v>
      </c>
      <c r="C426">
        <v>6106</v>
      </c>
      <c r="D426">
        <v>2</v>
      </c>
      <c r="E426">
        <v>4</v>
      </c>
      <c r="F426">
        <v>148</v>
      </c>
    </row>
    <row r="427" spans="1:6" x14ac:dyDescent="0.25">
      <c r="A427">
        <v>107</v>
      </c>
      <c r="B427" t="s">
        <v>36</v>
      </c>
      <c r="C427">
        <v>6740</v>
      </c>
      <c r="D427">
        <v>1</v>
      </c>
      <c r="E427">
        <v>6</v>
      </c>
      <c r="F427">
        <v>152</v>
      </c>
    </row>
    <row r="428" spans="1:6" x14ac:dyDescent="0.25">
      <c r="A428">
        <v>107</v>
      </c>
      <c r="B428">
        <v>3</v>
      </c>
      <c r="C428">
        <v>4070</v>
      </c>
      <c r="D428">
        <v>4</v>
      </c>
      <c r="E428">
        <v>5</v>
      </c>
      <c r="F428">
        <v>132</v>
      </c>
    </row>
    <row r="429" spans="1:6" x14ac:dyDescent="0.25">
      <c r="A429">
        <v>107</v>
      </c>
      <c r="B429">
        <v>4</v>
      </c>
      <c r="C429">
        <v>5391</v>
      </c>
      <c r="D429">
        <v>3</v>
      </c>
      <c r="E429">
        <v>6</v>
      </c>
      <c r="F429">
        <v>127</v>
      </c>
    </row>
    <row r="430" spans="1:6" x14ac:dyDescent="0.25">
      <c r="A430">
        <v>108</v>
      </c>
      <c r="B430" t="s">
        <v>35</v>
      </c>
      <c r="C430">
        <v>4233</v>
      </c>
      <c r="D430">
        <v>3</v>
      </c>
      <c r="E430">
        <v>9</v>
      </c>
      <c r="F430">
        <v>139</v>
      </c>
    </row>
    <row r="431" spans="1:6" x14ac:dyDescent="0.25">
      <c r="A431">
        <v>108</v>
      </c>
      <c r="B431" t="s">
        <v>36</v>
      </c>
      <c r="C431">
        <v>6963</v>
      </c>
      <c r="D431">
        <v>1</v>
      </c>
      <c r="E431">
        <v>10</v>
      </c>
      <c r="F431">
        <v>131</v>
      </c>
    </row>
    <row r="432" spans="1:6" x14ac:dyDescent="0.25">
      <c r="A432">
        <v>108</v>
      </c>
      <c r="B432">
        <v>3</v>
      </c>
      <c r="C432">
        <v>3833</v>
      </c>
      <c r="D432">
        <v>4</v>
      </c>
      <c r="E432">
        <v>12</v>
      </c>
      <c r="F432">
        <v>127</v>
      </c>
    </row>
    <row r="433" spans="1:6" x14ac:dyDescent="0.25">
      <c r="A433">
        <v>108</v>
      </c>
      <c r="B433">
        <v>4</v>
      </c>
      <c r="C433">
        <v>4602</v>
      </c>
      <c r="D433">
        <v>2</v>
      </c>
      <c r="E433">
        <v>13</v>
      </c>
      <c r="F433">
        <v>138</v>
      </c>
    </row>
    <row r="434" spans="1:6" x14ac:dyDescent="0.25">
      <c r="A434">
        <v>109</v>
      </c>
      <c r="B434" t="s">
        <v>35</v>
      </c>
      <c r="C434">
        <v>5737</v>
      </c>
      <c r="D434">
        <v>3</v>
      </c>
      <c r="E434">
        <v>10</v>
      </c>
      <c r="F434">
        <v>151</v>
      </c>
    </row>
    <row r="435" spans="1:6" x14ac:dyDescent="0.25">
      <c r="A435">
        <v>109</v>
      </c>
      <c r="B435" t="s">
        <v>36</v>
      </c>
      <c r="C435">
        <v>6250</v>
      </c>
      <c r="D435">
        <v>1</v>
      </c>
      <c r="E435">
        <v>5</v>
      </c>
      <c r="F435">
        <v>166</v>
      </c>
    </row>
    <row r="436" spans="1:6" x14ac:dyDescent="0.25">
      <c r="A436">
        <v>109</v>
      </c>
      <c r="B436">
        <v>3</v>
      </c>
      <c r="C436">
        <v>3693</v>
      </c>
      <c r="D436">
        <v>4</v>
      </c>
      <c r="E436">
        <v>10</v>
      </c>
      <c r="F436">
        <v>153</v>
      </c>
    </row>
    <row r="437" spans="1:6" x14ac:dyDescent="0.25">
      <c r="A437">
        <v>109</v>
      </c>
      <c r="B437">
        <v>4</v>
      </c>
      <c r="C437">
        <v>5899</v>
      </c>
      <c r="D437">
        <v>2</v>
      </c>
      <c r="E437">
        <v>6</v>
      </c>
      <c r="F437">
        <v>170</v>
      </c>
    </row>
    <row r="438" spans="1:6" x14ac:dyDescent="0.25">
      <c r="A438">
        <v>110</v>
      </c>
      <c r="B438" t="s">
        <v>35</v>
      </c>
      <c r="C438">
        <v>9786</v>
      </c>
      <c r="D438">
        <v>1</v>
      </c>
      <c r="E438">
        <v>9</v>
      </c>
      <c r="F438">
        <v>101</v>
      </c>
    </row>
    <row r="439" spans="1:6" x14ac:dyDescent="0.25">
      <c r="A439">
        <v>110</v>
      </c>
      <c r="B439" t="s">
        <v>36</v>
      </c>
      <c r="C439">
        <v>1343</v>
      </c>
      <c r="D439">
        <v>4</v>
      </c>
      <c r="E439">
        <v>3</v>
      </c>
      <c r="F439">
        <v>24</v>
      </c>
    </row>
    <row r="440" spans="1:6" x14ac:dyDescent="0.25">
      <c r="A440">
        <v>110</v>
      </c>
      <c r="B440">
        <v>3</v>
      </c>
      <c r="C440">
        <v>3713</v>
      </c>
      <c r="D440">
        <v>2</v>
      </c>
      <c r="E440">
        <v>10</v>
      </c>
      <c r="F440">
        <v>91</v>
      </c>
    </row>
    <row r="441" spans="1:6" x14ac:dyDescent="0.25">
      <c r="A441">
        <v>110</v>
      </c>
      <c r="B441">
        <v>4</v>
      </c>
      <c r="C441">
        <v>2828</v>
      </c>
      <c r="D441">
        <v>3</v>
      </c>
      <c r="E441">
        <v>2</v>
      </c>
      <c r="F441">
        <v>33</v>
      </c>
    </row>
    <row r="442" spans="1:6" x14ac:dyDescent="0.25">
      <c r="A442">
        <v>111</v>
      </c>
      <c r="B442" t="s">
        <v>35</v>
      </c>
      <c r="C442">
        <v>1422</v>
      </c>
      <c r="D442">
        <v>3</v>
      </c>
      <c r="E442">
        <v>6</v>
      </c>
      <c r="F442">
        <v>46</v>
      </c>
    </row>
    <row r="443" spans="1:6" x14ac:dyDescent="0.25">
      <c r="A443">
        <v>111</v>
      </c>
      <c r="B443" t="s">
        <v>36</v>
      </c>
      <c r="C443">
        <v>1916</v>
      </c>
      <c r="D443">
        <v>2</v>
      </c>
      <c r="E443">
        <v>4</v>
      </c>
      <c r="F443">
        <v>40</v>
      </c>
    </row>
    <row r="444" spans="1:6" x14ac:dyDescent="0.25">
      <c r="A444">
        <v>111</v>
      </c>
      <c r="B444">
        <v>3</v>
      </c>
      <c r="C444">
        <v>6359</v>
      </c>
      <c r="D444">
        <v>1</v>
      </c>
      <c r="E444">
        <v>6</v>
      </c>
      <c r="F444">
        <v>32</v>
      </c>
    </row>
    <row r="445" spans="1:6" x14ac:dyDescent="0.25">
      <c r="A445">
        <v>111</v>
      </c>
      <c r="B445">
        <v>4</v>
      </c>
      <c r="C445">
        <v>944</v>
      </c>
      <c r="D445">
        <v>4</v>
      </c>
      <c r="E445">
        <v>6</v>
      </c>
      <c r="F445">
        <v>49</v>
      </c>
    </row>
    <row r="446" spans="1:6" x14ac:dyDescent="0.25">
      <c r="A446">
        <v>112</v>
      </c>
      <c r="B446" t="s">
        <v>35</v>
      </c>
      <c r="C446">
        <v>7796</v>
      </c>
      <c r="D446">
        <v>1</v>
      </c>
      <c r="E446">
        <v>2</v>
      </c>
      <c r="F446">
        <v>216</v>
      </c>
    </row>
    <row r="447" spans="1:6" x14ac:dyDescent="0.25">
      <c r="A447">
        <v>112</v>
      </c>
      <c r="B447" t="s">
        <v>36</v>
      </c>
      <c r="C447">
        <v>3303</v>
      </c>
      <c r="D447">
        <v>3</v>
      </c>
      <c r="E447">
        <v>2</v>
      </c>
      <c r="F447">
        <v>183</v>
      </c>
    </row>
    <row r="448" spans="1:6" x14ac:dyDescent="0.25">
      <c r="A448">
        <v>112</v>
      </c>
      <c r="B448">
        <v>3</v>
      </c>
      <c r="C448">
        <v>3092</v>
      </c>
      <c r="D448">
        <v>4</v>
      </c>
      <c r="E448">
        <v>8</v>
      </c>
      <c r="F448">
        <v>126</v>
      </c>
    </row>
    <row r="449" spans="1:6" x14ac:dyDescent="0.25">
      <c r="A449">
        <v>112</v>
      </c>
      <c r="B449">
        <v>4</v>
      </c>
      <c r="C449">
        <v>5861</v>
      </c>
      <c r="D449">
        <v>2</v>
      </c>
      <c r="E449">
        <v>8</v>
      </c>
      <c r="F449">
        <v>119</v>
      </c>
    </row>
    <row r="450" spans="1:6" x14ac:dyDescent="0.25">
      <c r="A450">
        <v>113</v>
      </c>
      <c r="B450" t="s">
        <v>35</v>
      </c>
      <c r="C450">
        <v>1605</v>
      </c>
      <c r="D450">
        <v>3</v>
      </c>
      <c r="E450">
        <v>4</v>
      </c>
      <c r="F450">
        <v>25</v>
      </c>
    </row>
    <row r="451" spans="1:6" x14ac:dyDescent="0.25">
      <c r="A451">
        <v>113</v>
      </c>
      <c r="B451" t="s">
        <v>36</v>
      </c>
      <c r="C451">
        <v>1698</v>
      </c>
      <c r="D451">
        <v>2</v>
      </c>
      <c r="E451">
        <v>1</v>
      </c>
      <c r="F451">
        <v>29</v>
      </c>
    </row>
    <row r="452" spans="1:6" x14ac:dyDescent="0.25">
      <c r="A452">
        <v>113</v>
      </c>
      <c r="B452">
        <v>3</v>
      </c>
      <c r="C452">
        <v>1019</v>
      </c>
      <c r="D452">
        <v>4</v>
      </c>
      <c r="E452">
        <v>4</v>
      </c>
      <c r="F452">
        <v>50</v>
      </c>
    </row>
    <row r="453" spans="1:6" x14ac:dyDescent="0.25">
      <c r="A453">
        <v>113</v>
      </c>
      <c r="B453">
        <v>4</v>
      </c>
      <c r="C453">
        <v>1868</v>
      </c>
      <c r="D453">
        <v>1</v>
      </c>
      <c r="E453">
        <v>7</v>
      </c>
      <c r="F453">
        <v>43</v>
      </c>
    </row>
    <row r="454" spans="1:6" x14ac:dyDescent="0.25">
      <c r="A454">
        <v>114</v>
      </c>
      <c r="B454" t="s">
        <v>35</v>
      </c>
      <c r="C454">
        <v>6571</v>
      </c>
      <c r="D454">
        <v>1</v>
      </c>
      <c r="E454">
        <v>12</v>
      </c>
      <c r="F454">
        <v>107</v>
      </c>
    </row>
    <row r="455" spans="1:6" x14ac:dyDescent="0.25">
      <c r="A455">
        <v>114</v>
      </c>
      <c r="B455" t="s">
        <v>36</v>
      </c>
      <c r="C455">
        <v>4090</v>
      </c>
      <c r="D455">
        <v>3</v>
      </c>
      <c r="E455">
        <v>9</v>
      </c>
      <c r="F455">
        <v>103</v>
      </c>
    </row>
    <row r="456" spans="1:6" x14ac:dyDescent="0.25">
      <c r="A456">
        <v>114</v>
      </c>
      <c r="B456">
        <v>3</v>
      </c>
      <c r="C456">
        <v>3341</v>
      </c>
      <c r="D456">
        <v>4</v>
      </c>
      <c r="E456">
        <v>10</v>
      </c>
      <c r="F456">
        <v>107</v>
      </c>
    </row>
    <row r="457" spans="1:6" x14ac:dyDescent="0.25">
      <c r="A457">
        <v>114</v>
      </c>
      <c r="B457">
        <v>4</v>
      </c>
      <c r="C457">
        <v>5030</v>
      </c>
      <c r="D457">
        <v>2</v>
      </c>
      <c r="E457">
        <v>8</v>
      </c>
      <c r="F457">
        <v>114</v>
      </c>
    </row>
    <row r="458" spans="1:6" x14ac:dyDescent="0.25">
      <c r="A458">
        <v>115</v>
      </c>
      <c r="B458" t="s">
        <v>35</v>
      </c>
      <c r="C458">
        <v>8362</v>
      </c>
      <c r="D458">
        <v>1</v>
      </c>
      <c r="E458">
        <v>10</v>
      </c>
      <c r="F458">
        <v>140</v>
      </c>
    </row>
    <row r="459" spans="1:6" x14ac:dyDescent="0.25">
      <c r="A459">
        <v>115</v>
      </c>
      <c r="B459" t="s">
        <v>36</v>
      </c>
      <c r="C459">
        <v>3592</v>
      </c>
      <c r="D459">
        <v>3</v>
      </c>
      <c r="E459">
        <v>7</v>
      </c>
      <c r="F459">
        <v>126</v>
      </c>
    </row>
    <row r="460" spans="1:6" x14ac:dyDescent="0.25">
      <c r="A460">
        <v>115</v>
      </c>
      <c r="B460">
        <v>3</v>
      </c>
      <c r="C460">
        <v>3271</v>
      </c>
      <c r="D460">
        <v>4</v>
      </c>
      <c r="E460">
        <v>11</v>
      </c>
      <c r="F460">
        <v>92</v>
      </c>
    </row>
    <row r="461" spans="1:6" x14ac:dyDescent="0.25">
      <c r="A461">
        <v>115</v>
      </c>
      <c r="B461">
        <v>4</v>
      </c>
      <c r="C461">
        <v>3885</v>
      </c>
      <c r="D461">
        <v>2</v>
      </c>
      <c r="E461">
        <v>7</v>
      </c>
      <c r="F461">
        <v>118</v>
      </c>
    </row>
    <row r="462" spans="1:6" x14ac:dyDescent="0.25">
      <c r="A462">
        <v>116</v>
      </c>
      <c r="B462" t="s">
        <v>35</v>
      </c>
      <c r="C462">
        <v>4700</v>
      </c>
      <c r="D462">
        <v>2</v>
      </c>
      <c r="E462">
        <v>8</v>
      </c>
      <c r="F462">
        <v>129</v>
      </c>
    </row>
    <row r="463" spans="1:6" x14ac:dyDescent="0.25">
      <c r="A463">
        <v>116</v>
      </c>
      <c r="B463" t="s">
        <v>36</v>
      </c>
      <c r="C463">
        <v>2397</v>
      </c>
      <c r="D463">
        <v>3</v>
      </c>
      <c r="E463">
        <v>2</v>
      </c>
      <c r="F463">
        <v>11</v>
      </c>
    </row>
    <row r="464" spans="1:6" x14ac:dyDescent="0.25">
      <c r="A464">
        <v>116</v>
      </c>
      <c r="B464">
        <v>3</v>
      </c>
      <c r="C464">
        <v>9347</v>
      </c>
      <c r="D464">
        <v>1</v>
      </c>
      <c r="E464">
        <v>13</v>
      </c>
      <c r="F464">
        <v>118</v>
      </c>
    </row>
    <row r="465" spans="1:6" x14ac:dyDescent="0.25">
      <c r="A465">
        <v>116</v>
      </c>
      <c r="B465">
        <v>4</v>
      </c>
      <c r="C465">
        <v>1678</v>
      </c>
      <c r="D465">
        <v>4</v>
      </c>
      <c r="E465">
        <v>4</v>
      </c>
      <c r="F465">
        <v>9</v>
      </c>
    </row>
    <row r="466" spans="1:6" x14ac:dyDescent="0.25">
      <c r="A466">
        <v>117</v>
      </c>
      <c r="B466" t="s">
        <v>35</v>
      </c>
      <c r="C466">
        <v>9526</v>
      </c>
      <c r="D466">
        <v>1</v>
      </c>
      <c r="E466">
        <v>0</v>
      </c>
      <c r="F466">
        <v>228</v>
      </c>
    </row>
    <row r="467" spans="1:6" x14ac:dyDescent="0.25">
      <c r="A467">
        <v>117</v>
      </c>
      <c r="B467" t="s">
        <v>36</v>
      </c>
      <c r="C467">
        <v>1017</v>
      </c>
      <c r="D467">
        <v>4</v>
      </c>
      <c r="E467">
        <v>2</v>
      </c>
      <c r="F467">
        <v>38</v>
      </c>
    </row>
    <row r="468" spans="1:6" x14ac:dyDescent="0.25">
      <c r="A468">
        <v>117</v>
      </c>
      <c r="B468">
        <v>3</v>
      </c>
      <c r="C468">
        <v>1559</v>
      </c>
      <c r="D468">
        <v>3</v>
      </c>
      <c r="E468">
        <v>2</v>
      </c>
      <c r="F468">
        <v>32</v>
      </c>
    </row>
    <row r="469" spans="1:6" x14ac:dyDescent="0.25">
      <c r="A469">
        <v>117</v>
      </c>
      <c r="B469">
        <v>4</v>
      </c>
      <c r="C469">
        <v>7179</v>
      </c>
      <c r="D469">
        <v>2</v>
      </c>
      <c r="E469">
        <v>2</v>
      </c>
      <c r="F469">
        <v>216</v>
      </c>
    </row>
    <row r="470" spans="1:6" x14ac:dyDescent="0.25">
      <c r="A470">
        <v>118</v>
      </c>
      <c r="B470" t="s">
        <v>35</v>
      </c>
      <c r="C470">
        <v>6259</v>
      </c>
      <c r="D470">
        <v>1</v>
      </c>
      <c r="E470">
        <v>5</v>
      </c>
      <c r="F470">
        <v>158</v>
      </c>
    </row>
    <row r="471" spans="1:6" x14ac:dyDescent="0.25">
      <c r="A471">
        <v>118</v>
      </c>
      <c r="B471" t="s">
        <v>36</v>
      </c>
      <c r="C471">
        <v>6173</v>
      </c>
      <c r="D471">
        <v>2</v>
      </c>
      <c r="E471">
        <v>7</v>
      </c>
      <c r="F471">
        <v>170</v>
      </c>
    </row>
    <row r="472" spans="1:6" x14ac:dyDescent="0.25">
      <c r="A472">
        <v>118</v>
      </c>
      <c r="B472">
        <v>3</v>
      </c>
      <c r="C472">
        <v>4268</v>
      </c>
      <c r="D472">
        <v>4</v>
      </c>
      <c r="E472">
        <v>6</v>
      </c>
      <c r="F472">
        <v>121</v>
      </c>
    </row>
    <row r="473" spans="1:6" x14ac:dyDescent="0.25">
      <c r="A473">
        <v>118</v>
      </c>
      <c r="B473">
        <v>4</v>
      </c>
      <c r="C473">
        <v>5254</v>
      </c>
      <c r="D473">
        <v>3</v>
      </c>
      <c r="E473">
        <v>7</v>
      </c>
      <c r="F473">
        <v>158</v>
      </c>
    </row>
    <row r="474" spans="1:6" x14ac:dyDescent="0.25">
      <c r="A474">
        <v>119</v>
      </c>
      <c r="B474" t="s">
        <v>35</v>
      </c>
      <c r="C474">
        <v>10825</v>
      </c>
      <c r="D474">
        <v>1</v>
      </c>
      <c r="E474">
        <v>7</v>
      </c>
      <c r="F474">
        <v>74</v>
      </c>
    </row>
    <row r="475" spans="1:6" x14ac:dyDescent="0.25">
      <c r="A475">
        <v>119</v>
      </c>
      <c r="B475" t="s">
        <v>36</v>
      </c>
      <c r="C475">
        <v>3997</v>
      </c>
      <c r="D475">
        <v>2</v>
      </c>
      <c r="E475">
        <v>8</v>
      </c>
      <c r="F475">
        <v>71</v>
      </c>
    </row>
    <row r="476" spans="1:6" x14ac:dyDescent="0.25">
      <c r="A476">
        <v>119</v>
      </c>
      <c r="B476">
        <v>3</v>
      </c>
      <c r="C476">
        <v>1342</v>
      </c>
      <c r="D476">
        <v>4</v>
      </c>
      <c r="E476">
        <v>3</v>
      </c>
      <c r="F476">
        <v>54</v>
      </c>
    </row>
    <row r="477" spans="1:6" x14ac:dyDescent="0.25">
      <c r="A477">
        <v>119</v>
      </c>
      <c r="B477">
        <v>4</v>
      </c>
      <c r="C477">
        <v>2719</v>
      </c>
      <c r="D477">
        <v>3</v>
      </c>
      <c r="E477">
        <v>5</v>
      </c>
      <c r="F477">
        <v>56</v>
      </c>
    </row>
    <row r="478" spans="1:6" x14ac:dyDescent="0.25">
      <c r="A478">
        <v>120</v>
      </c>
      <c r="B478" t="s">
        <v>35</v>
      </c>
      <c r="C478">
        <v>11179</v>
      </c>
      <c r="D478">
        <v>1</v>
      </c>
      <c r="E478">
        <v>34</v>
      </c>
      <c r="F478">
        <v>54</v>
      </c>
    </row>
    <row r="479" spans="1:6" x14ac:dyDescent="0.25">
      <c r="A479">
        <v>120</v>
      </c>
      <c r="B479" t="s">
        <v>36</v>
      </c>
      <c r="C479">
        <v>976</v>
      </c>
      <c r="D479">
        <v>3</v>
      </c>
      <c r="E479">
        <v>0</v>
      </c>
      <c r="F479">
        <v>16</v>
      </c>
    </row>
    <row r="480" spans="1:6" x14ac:dyDescent="0.25">
      <c r="A480">
        <v>120</v>
      </c>
      <c r="B480">
        <v>3</v>
      </c>
      <c r="C480">
        <v>1157</v>
      </c>
      <c r="D480">
        <v>2</v>
      </c>
      <c r="E480">
        <v>0</v>
      </c>
      <c r="F480">
        <v>22</v>
      </c>
    </row>
    <row r="481" spans="1:6" x14ac:dyDescent="0.25">
      <c r="A481">
        <v>120</v>
      </c>
      <c r="B481">
        <v>4</v>
      </c>
      <c r="C481">
        <v>66</v>
      </c>
      <c r="D481">
        <v>4</v>
      </c>
      <c r="E481">
        <v>34</v>
      </c>
      <c r="F481">
        <v>5</v>
      </c>
    </row>
    <row r="482" spans="1:6" x14ac:dyDescent="0.25">
      <c r="A482">
        <v>121</v>
      </c>
      <c r="B482" t="s">
        <v>35</v>
      </c>
      <c r="C482">
        <v>5583</v>
      </c>
      <c r="D482">
        <v>2</v>
      </c>
      <c r="E482">
        <v>14</v>
      </c>
      <c r="F482">
        <v>127</v>
      </c>
    </row>
    <row r="483" spans="1:6" x14ac:dyDescent="0.25">
      <c r="A483">
        <v>121</v>
      </c>
      <c r="B483" t="s">
        <v>36</v>
      </c>
      <c r="C483">
        <v>3512</v>
      </c>
      <c r="D483">
        <v>4</v>
      </c>
      <c r="E483">
        <v>13</v>
      </c>
      <c r="F483">
        <v>97</v>
      </c>
    </row>
    <row r="484" spans="1:6" x14ac:dyDescent="0.25">
      <c r="A484">
        <v>121</v>
      </c>
      <c r="B484">
        <v>3</v>
      </c>
      <c r="C484">
        <v>4421</v>
      </c>
      <c r="D484">
        <v>3</v>
      </c>
      <c r="E484">
        <v>9</v>
      </c>
      <c r="F484">
        <v>86</v>
      </c>
    </row>
    <row r="485" spans="1:6" x14ac:dyDescent="0.25">
      <c r="A485">
        <v>121</v>
      </c>
      <c r="B485">
        <v>4</v>
      </c>
      <c r="C485">
        <v>6162</v>
      </c>
      <c r="D485">
        <v>1</v>
      </c>
      <c r="E485">
        <v>17</v>
      </c>
      <c r="F485">
        <v>122</v>
      </c>
    </row>
    <row r="486" spans="1:6" x14ac:dyDescent="0.25">
      <c r="A486">
        <v>122</v>
      </c>
      <c r="B486" t="s">
        <v>35</v>
      </c>
      <c r="C486">
        <v>1840</v>
      </c>
      <c r="D486">
        <v>4</v>
      </c>
      <c r="E486">
        <v>13</v>
      </c>
      <c r="F486">
        <v>48</v>
      </c>
    </row>
    <row r="487" spans="1:6" x14ac:dyDescent="0.25">
      <c r="A487">
        <v>122</v>
      </c>
      <c r="B487" t="s">
        <v>36</v>
      </c>
      <c r="C487">
        <v>4329</v>
      </c>
      <c r="D487">
        <v>1</v>
      </c>
      <c r="E487">
        <v>12</v>
      </c>
      <c r="F487">
        <v>50</v>
      </c>
    </row>
    <row r="488" spans="1:6" x14ac:dyDescent="0.25">
      <c r="A488">
        <v>122</v>
      </c>
      <c r="B488">
        <v>3</v>
      </c>
      <c r="C488">
        <v>3180</v>
      </c>
      <c r="D488">
        <v>2</v>
      </c>
      <c r="E488">
        <v>2</v>
      </c>
      <c r="F488">
        <v>26</v>
      </c>
    </row>
    <row r="489" spans="1:6" x14ac:dyDescent="0.25">
      <c r="A489">
        <v>122</v>
      </c>
      <c r="B489">
        <v>4</v>
      </c>
      <c r="C489">
        <v>2338</v>
      </c>
      <c r="D489">
        <v>3</v>
      </c>
      <c r="E489">
        <v>2</v>
      </c>
      <c r="F489">
        <v>44</v>
      </c>
    </row>
    <row r="490" spans="1:6" x14ac:dyDescent="0.25">
      <c r="A490">
        <v>123</v>
      </c>
      <c r="B490" t="s">
        <v>35</v>
      </c>
      <c r="C490">
        <v>8758</v>
      </c>
      <c r="D490">
        <v>2</v>
      </c>
      <c r="E490">
        <v>2</v>
      </c>
      <c r="F490">
        <v>127</v>
      </c>
    </row>
    <row r="491" spans="1:6" x14ac:dyDescent="0.25">
      <c r="A491">
        <v>123</v>
      </c>
      <c r="B491" t="s">
        <v>36</v>
      </c>
      <c r="C491">
        <v>2349</v>
      </c>
      <c r="D491">
        <v>3</v>
      </c>
      <c r="E491">
        <v>5</v>
      </c>
      <c r="F491">
        <v>49</v>
      </c>
    </row>
    <row r="492" spans="1:6" x14ac:dyDescent="0.25">
      <c r="A492">
        <v>123</v>
      </c>
      <c r="B492">
        <v>3</v>
      </c>
      <c r="C492">
        <v>2181</v>
      </c>
      <c r="D492">
        <v>4</v>
      </c>
      <c r="E492">
        <v>4</v>
      </c>
      <c r="F492">
        <v>48</v>
      </c>
    </row>
    <row r="493" spans="1:6" x14ac:dyDescent="0.25">
      <c r="A493">
        <v>123</v>
      </c>
      <c r="B493">
        <v>4</v>
      </c>
      <c r="C493">
        <v>9182</v>
      </c>
      <c r="D493">
        <v>1</v>
      </c>
      <c r="E493">
        <v>6</v>
      </c>
      <c r="F493">
        <v>128</v>
      </c>
    </row>
    <row r="494" spans="1:6" x14ac:dyDescent="0.25">
      <c r="A494">
        <v>124</v>
      </c>
      <c r="B494" t="s">
        <v>35</v>
      </c>
      <c r="C494">
        <v>7352</v>
      </c>
      <c r="D494">
        <v>1</v>
      </c>
      <c r="E494">
        <v>3</v>
      </c>
      <c r="F494">
        <v>160</v>
      </c>
    </row>
    <row r="495" spans="1:6" x14ac:dyDescent="0.25">
      <c r="A495">
        <v>124</v>
      </c>
      <c r="B495" t="s">
        <v>36</v>
      </c>
      <c r="C495">
        <v>1057</v>
      </c>
      <c r="D495">
        <v>4</v>
      </c>
      <c r="E495">
        <v>2</v>
      </c>
      <c r="F495">
        <v>25</v>
      </c>
    </row>
    <row r="496" spans="1:6" x14ac:dyDescent="0.25">
      <c r="A496">
        <v>124</v>
      </c>
      <c r="B496">
        <v>3</v>
      </c>
      <c r="C496">
        <v>3682</v>
      </c>
      <c r="D496">
        <v>3</v>
      </c>
      <c r="E496">
        <v>3</v>
      </c>
      <c r="F496">
        <v>82</v>
      </c>
    </row>
    <row r="497" spans="1:6" x14ac:dyDescent="0.25">
      <c r="A497">
        <v>124</v>
      </c>
      <c r="B497">
        <v>4</v>
      </c>
      <c r="C497">
        <v>5562</v>
      </c>
      <c r="D497">
        <v>2</v>
      </c>
      <c r="E497">
        <v>4</v>
      </c>
      <c r="F497">
        <v>110</v>
      </c>
    </row>
    <row r="498" spans="1:6" x14ac:dyDescent="0.25">
      <c r="A498">
        <v>125</v>
      </c>
      <c r="B498" t="s">
        <v>35</v>
      </c>
      <c r="C498">
        <v>7093</v>
      </c>
      <c r="D498">
        <v>2</v>
      </c>
      <c r="E498">
        <v>2</v>
      </c>
      <c r="F498">
        <v>166</v>
      </c>
    </row>
    <row r="499" spans="1:6" x14ac:dyDescent="0.25">
      <c r="A499">
        <v>125</v>
      </c>
      <c r="B499" t="s">
        <v>36</v>
      </c>
      <c r="C499">
        <v>2685</v>
      </c>
      <c r="D499">
        <v>3</v>
      </c>
      <c r="E499">
        <v>1</v>
      </c>
      <c r="F499">
        <v>39</v>
      </c>
    </row>
    <row r="500" spans="1:6" x14ac:dyDescent="0.25">
      <c r="A500">
        <v>125</v>
      </c>
      <c r="B500">
        <v>3</v>
      </c>
      <c r="C500">
        <v>607</v>
      </c>
      <c r="D500">
        <v>4</v>
      </c>
      <c r="E500">
        <v>2</v>
      </c>
      <c r="F500">
        <v>34</v>
      </c>
    </row>
    <row r="501" spans="1:6" x14ac:dyDescent="0.25">
      <c r="A501">
        <v>125</v>
      </c>
      <c r="B501">
        <v>4</v>
      </c>
      <c r="C501">
        <v>9411</v>
      </c>
      <c r="D501">
        <v>1</v>
      </c>
      <c r="E501">
        <v>2</v>
      </c>
      <c r="F501">
        <v>167</v>
      </c>
    </row>
    <row r="502" spans="1:6" x14ac:dyDescent="0.25">
      <c r="A502">
        <v>126</v>
      </c>
      <c r="B502" t="s">
        <v>35</v>
      </c>
      <c r="C502">
        <v>5932</v>
      </c>
      <c r="D502">
        <v>1</v>
      </c>
      <c r="E502">
        <v>2</v>
      </c>
      <c r="F502">
        <v>135</v>
      </c>
    </row>
    <row r="503" spans="1:6" x14ac:dyDescent="0.25">
      <c r="A503">
        <v>126</v>
      </c>
      <c r="B503" t="s">
        <v>36</v>
      </c>
      <c r="C503">
        <v>4736</v>
      </c>
      <c r="D503">
        <v>3</v>
      </c>
      <c r="E503">
        <v>7</v>
      </c>
      <c r="F503">
        <v>96</v>
      </c>
    </row>
    <row r="504" spans="1:6" x14ac:dyDescent="0.25">
      <c r="A504">
        <v>126</v>
      </c>
      <c r="B504">
        <v>3</v>
      </c>
      <c r="C504">
        <v>5871</v>
      </c>
      <c r="D504">
        <v>2</v>
      </c>
      <c r="E504">
        <v>14</v>
      </c>
      <c r="F504">
        <v>101</v>
      </c>
    </row>
    <row r="505" spans="1:6" x14ac:dyDescent="0.25">
      <c r="A505">
        <v>126</v>
      </c>
      <c r="B505">
        <v>4</v>
      </c>
      <c r="C505">
        <v>3393</v>
      </c>
      <c r="D505">
        <v>4</v>
      </c>
      <c r="E505">
        <v>11</v>
      </c>
      <c r="F505">
        <v>98</v>
      </c>
    </row>
    <row r="506" spans="1:6" x14ac:dyDescent="0.25">
      <c r="A506">
        <v>127</v>
      </c>
      <c r="B506" t="s">
        <v>35</v>
      </c>
      <c r="C506">
        <v>1395</v>
      </c>
      <c r="D506">
        <v>4</v>
      </c>
      <c r="E506">
        <v>2</v>
      </c>
      <c r="F506">
        <v>43</v>
      </c>
    </row>
    <row r="507" spans="1:6" x14ac:dyDescent="0.25">
      <c r="A507">
        <v>127</v>
      </c>
      <c r="B507" t="s">
        <v>36</v>
      </c>
      <c r="C507">
        <v>1839</v>
      </c>
      <c r="D507">
        <v>3</v>
      </c>
      <c r="E507">
        <v>6</v>
      </c>
      <c r="F507">
        <v>45</v>
      </c>
    </row>
    <row r="508" spans="1:6" x14ac:dyDescent="0.25">
      <c r="A508">
        <v>127</v>
      </c>
      <c r="B508">
        <v>3</v>
      </c>
      <c r="C508">
        <v>8943</v>
      </c>
      <c r="D508">
        <v>1</v>
      </c>
      <c r="E508">
        <v>3</v>
      </c>
      <c r="F508">
        <v>86</v>
      </c>
    </row>
    <row r="509" spans="1:6" x14ac:dyDescent="0.25">
      <c r="A509">
        <v>127</v>
      </c>
      <c r="B509">
        <v>4</v>
      </c>
      <c r="C509">
        <v>7538</v>
      </c>
      <c r="D509">
        <v>2</v>
      </c>
      <c r="E509">
        <v>3</v>
      </c>
      <c r="F509">
        <v>89</v>
      </c>
    </row>
    <row r="510" spans="1:6" x14ac:dyDescent="0.25">
      <c r="A510">
        <v>128</v>
      </c>
      <c r="B510" t="s">
        <v>35</v>
      </c>
      <c r="C510">
        <v>8695</v>
      </c>
      <c r="D510">
        <v>1</v>
      </c>
      <c r="E510">
        <v>7</v>
      </c>
      <c r="F510">
        <v>148</v>
      </c>
    </row>
    <row r="511" spans="1:6" x14ac:dyDescent="0.25">
      <c r="A511">
        <v>128</v>
      </c>
      <c r="B511" t="s">
        <v>36</v>
      </c>
      <c r="C511">
        <v>2293</v>
      </c>
      <c r="D511">
        <v>3</v>
      </c>
      <c r="E511">
        <v>8</v>
      </c>
      <c r="F511">
        <v>47</v>
      </c>
    </row>
    <row r="512" spans="1:6" x14ac:dyDescent="0.25">
      <c r="A512">
        <v>128</v>
      </c>
      <c r="B512">
        <v>3</v>
      </c>
      <c r="C512">
        <v>5806</v>
      </c>
      <c r="D512">
        <v>2</v>
      </c>
      <c r="E512">
        <v>5</v>
      </c>
      <c r="F512">
        <v>135</v>
      </c>
    </row>
    <row r="513" spans="1:6" x14ac:dyDescent="0.25">
      <c r="A513">
        <v>128</v>
      </c>
      <c r="B513">
        <v>4</v>
      </c>
      <c r="C513">
        <v>1655</v>
      </c>
      <c r="D513">
        <v>4</v>
      </c>
      <c r="E513">
        <v>10</v>
      </c>
      <c r="F513">
        <v>50</v>
      </c>
    </row>
    <row r="514" spans="1:6" x14ac:dyDescent="0.25">
      <c r="A514">
        <v>129</v>
      </c>
      <c r="B514" t="s">
        <v>35</v>
      </c>
      <c r="C514">
        <v>7981</v>
      </c>
      <c r="D514">
        <v>1</v>
      </c>
      <c r="E514">
        <v>5</v>
      </c>
      <c r="F514">
        <v>149</v>
      </c>
    </row>
    <row r="515" spans="1:6" x14ac:dyDescent="0.25">
      <c r="A515">
        <v>129</v>
      </c>
      <c r="B515" t="s">
        <v>36</v>
      </c>
      <c r="C515">
        <v>4250</v>
      </c>
      <c r="D515">
        <v>3</v>
      </c>
      <c r="E515">
        <v>14</v>
      </c>
      <c r="F515">
        <v>149</v>
      </c>
    </row>
    <row r="516" spans="1:6" x14ac:dyDescent="0.25">
      <c r="A516">
        <v>129</v>
      </c>
      <c r="B516">
        <v>3</v>
      </c>
      <c r="C516">
        <v>5425</v>
      </c>
      <c r="D516">
        <v>2</v>
      </c>
      <c r="E516">
        <v>2</v>
      </c>
      <c r="F516">
        <v>145</v>
      </c>
    </row>
    <row r="517" spans="1:6" x14ac:dyDescent="0.25">
      <c r="A517">
        <v>129</v>
      </c>
      <c r="B517">
        <v>4</v>
      </c>
      <c r="C517">
        <v>4230</v>
      </c>
      <c r="D517">
        <v>4</v>
      </c>
      <c r="E517">
        <v>12</v>
      </c>
      <c r="F517">
        <v>155</v>
      </c>
    </row>
    <row r="518" spans="1:6" x14ac:dyDescent="0.25">
      <c r="A518">
        <v>130</v>
      </c>
      <c r="B518" t="s">
        <v>35</v>
      </c>
      <c r="C518">
        <v>6046</v>
      </c>
      <c r="D518">
        <v>2</v>
      </c>
      <c r="E518">
        <v>3</v>
      </c>
      <c r="F518">
        <v>128</v>
      </c>
    </row>
    <row r="519" spans="1:6" x14ac:dyDescent="0.25">
      <c r="A519">
        <v>130</v>
      </c>
      <c r="B519" t="s">
        <v>36</v>
      </c>
      <c r="C519">
        <v>4108</v>
      </c>
      <c r="D519">
        <v>3</v>
      </c>
      <c r="E519">
        <v>13</v>
      </c>
      <c r="F519">
        <v>88</v>
      </c>
    </row>
    <row r="520" spans="1:6" x14ac:dyDescent="0.25">
      <c r="A520">
        <v>130</v>
      </c>
      <c r="B520">
        <v>3</v>
      </c>
      <c r="C520">
        <v>7578</v>
      </c>
      <c r="D520">
        <v>1</v>
      </c>
      <c r="E520">
        <v>2</v>
      </c>
      <c r="F520">
        <v>132</v>
      </c>
    </row>
    <row r="521" spans="1:6" x14ac:dyDescent="0.25">
      <c r="A521">
        <v>130</v>
      </c>
      <c r="B521">
        <v>4</v>
      </c>
      <c r="C521">
        <v>3217</v>
      </c>
      <c r="D521">
        <v>4</v>
      </c>
      <c r="E521">
        <v>14</v>
      </c>
      <c r="F521">
        <v>86</v>
      </c>
    </row>
    <row r="522" spans="1:6" x14ac:dyDescent="0.25">
      <c r="A522">
        <v>131</v>
      </c>
      <c r="B522" t="s">
        <v>35</v>
      </c>
      <c r="C522">
        <v>9729</v>
      </c>
      <c r="D522">
        <v>1</v>
      </c>
      <c r="E522">
        <v>24</v>
      </c>
      <c r="F522">
        <v>75</v>
      </c>
    </row>
    <row r="523" spans="1:6" x14ac:dyDescent="0.25">
      <c r="A523">
        <v>131</v>
      </c>
      <c r="B523" t="s">
        <v>36</v>
      </c>
      <c r="C523">
        <v>1734</v>
      </c>
      <c r="D523">
        <v>3</v>
      </c>
      <c r="E523">
        <v>4</v>
      </c>
      <c r="F523">
        <v>46</v>
      </c>
    </row>
    <row r="524" spans="1:6" x14ac:dyDescent="0.25">
      <c r="A524">
        <v>131</v>
      </c>
      <c r="B524">
        <v>3</v>
      </c>
      <c r="C524">
        <v>3349</v>
      </c>
      <c r="D524">
        <v>2</v>
      </c>
      <c r="E524">
        <v>27</v>
      </c>
      <c r="F524">
        <v>51</v>
      </c>
    </row>
    <row r="525" spans="1:6" x14ac:dyDescent="0.25">
      <c r="A525">
        <v>131</v>
      </c>
      <c r="B525">
        <v>4</v>
      </c>
      <c r="C525">
        <v>1103</v>
      </c>
      <c r="D525">
        <v>4</v>
      </c>
      <c r="E525">
        <v>5</v>
      </c>
      <c r="F525">
        <v>34</v>
      </c>
    </row>
    <row r="526" spans="1:6" x14ac:dyDescent="0.25">
      <c r="A526">
        <v>132</v>
      </c>
      <c r="B526" t="s">
        <v>35</v>
      </c>
      <c r="C526">
        <v>3928</v>
      </c>
      <c r="D526">
        <v>1</v>
      </c>
      <c r="E526">
        <v>2</v>
      </c>
      <c r="F526">
        <v>53</v>
      </c>
    </row>
    <row r="527" spans="1:6" x14ac:dyDescent="0.25">
      <c r="A527">
        <v>132</v>
      </c>
      <c r="B527" t="s">
        <v>36</v>
      </c>
      <c r="C527">
        <v>162</v>
      </c>
      <c r="D527">
        <v>4</v>
      </c>
      <c r="E527">
        <v>2</v>
      </c>
      <c r="F527">
        <v>10</v>
      </c>
    </row>
    <row r="528" spans="1:6" x14ac:dyDescent="0.25">
      <c r="A528">
        <v>132</v>
      </c>
      <c r="B528">
        <v>3</v>
      </c>
      <c r="C528">
        <v>906</v>
      </c>
      <c r="D528">
        <v>3</v>
      </c>
      <c r="E528">
        <v>1</v>
      </c>
      <c r="F528">
        <v>9</v>
      </c>
    </row>
    <row r="529" spans="1:6" x14ac:dyDescent="0.25">
      <c r="A529">
        <v>132</v>
      </c>
      <c r="B529">
        <v>4</v>
      </c>
      <c r="C529">
        <v>3258</v>
      </c>
      <c r="D529">
        <v>2</v>
      </c>
      <c r="E529">
        <v>1</v>
      </c>
      <c r="F529">
        <v>45</v>
      </c>
    </row>
    <row r="530" spans="1:6" x14ac:dyDescent="0.25">
      <c r="A530">
        <v>133</v>
      </c>
      <c r="B530" t="s">
        <v>35</v>
      </c>
      <c r="C530">
        <v>5136</v>
      </c>
      <c r="D530">
        <v>2</v>
      </c>
      <c r="E530">
        <v>6</v>
      </c>
      <c r="F530">
        <v>186</v>
      </c>
    </row>
    <row r="531" spans="1:6" x14ac:dyDescent="0.25">
      <c r="A531">
        <v>133</v>
      </c>
      <c r="B531" t="s">
        <v>36</v>
      </c>
      <c r="C531">
        <v>402</v>
      </c>
      <c r="D531">
        <v>4</v>
      </c>
      <c r="E531">
        <v>1</v>
      </c>
      <c r="F531">
        <v>28</v>
      </c>
    </row>
    <row r="532" spans="1:6" x14ac:dyDescent="0.25">
      <c r="A532">
        <v>133</v>
      </c>
      <c r="B532">
        <v>3</v>
      </c>
      <c r="C532">
        <v>10800</v>
      </c>
      <c r="D532">
        <v>1</v>
      </c>
      <c r="E532">
        <v>6</v>
      </c>
      <c r="F532">
        <v>187</v>
      </c>
    </row>
    <row r="533" spans="1:6" x14ac:dyDescent="0.25">
      <c r="A533">
        <v>133</v>
      </c>
      <c r="B533">
        <v>4</v>
      </c>
      <c r="C533">
        <v>2400</v>
      </c>
      <c r="D533">
        <v>3</v>
      </c>
      <c r="E533">
        <v>1</v>
      </c>
      <c r="F533">
        <v>22</v>
      </c>
    </row>
    <row r="534" spans="1:6" x14ac:dyDescent="0.25">
      <c r="A534">
        <v>134</v>
      </c>
      <c r="B534" t="s">
        <v>35</v>
      </c>
      <c r="C534">
        <v>1164</v>
      </c>
      <c r="D534">
        <v>4</v>
      </c>
      <c r="E534">
        <v>3</v>
      </c>
      <c r="F534">
        <v>49</v>
      </c>
    </row>
    <row r="535" spans="1:6" x14ac:dyDescent="0.25">
      <c r="A535">
        <v>134</v>
      </c>
      <c r="B535" t="s">
        <v>36</v>
      </c>
      <c r="C535">
        <v>5782</v>
      </c>
      <c r="D535">
        <v>1</v>
      </c>
      <c r="E535">
        <v>5</v>
      </c>
      <c r="F535">
        <v>73</v>
      </c>
    </row>
    <row r="536" spans="1:6" x14ac:dyDescent="0.25">
      <c r="A536">
        <v>134</v>
      </c>
      <c r="B536">
        <v>3</v>
      </c>
      <c r="C536">
        <v>2763</v>
      </c>
      <c r="D536">
        <v>3</v>
      </c>
      <c r="E536">
        <v>1</v>
      </c>
      <c r="F536">
        <v>65</v>
      </c>
    </row>
    <row r="537" spans="1:6" x14ac:dyDescent="0.25">
      <c r="A537">
        <v>134</v>
      </c>
      <c r="B537">
        <v>4</v>
      </c>
      <c r="C537">
        <v>4657</v>
      </c>
      <c r="D537">
        <v>2</v>
      </c>
      <c r="E537">
        <v>1</v>
      </c>
      <c r="F537">
        <v>84</v>
      </c>
    </row>
    <row r="538" spans="1:6" x14ac:dyDescent="0.25">
      <c r="A538">
        <v>135</v>
      </c>
      <c r="B538" t="s">
        <v>35</v>
      </c>
      <c r="C538">
        <v>6485</v>
      </c>
      <c r="D538">
        <v>1</v>
      </c>
      <c r="E538">
        <v>13</v>
      </c>
      <c r="F538">
        <v>134</v>
      </c>
    </row>
    <row r="539" spans="1:6" x14ac:dyDescent="0.25">
      <c r="A539">
        <v>135</v>
      </c>
      <c r="B539" t="s">
        <v>36</v>
      </c>
      <c r="C539">
        <v>5076</v>
      </c>
      <c r="D539">
        <v>2</v>
      </c>
      <c r="E539">
        <v>6</v>
      </c>
      <c r="F539">
        <v>97</v>
      </c>
    </row>
    <row r="540" spans="1:6" x14ac:dyDescent="0.25">
      <c r="A540">
        <v>135</v>
      </c>
      <c r="B540">
        <v>3</v>
      </c>
      <c r="C540">
        <v>4185</v>
      </c>
      <c r="D540">
        <v>3</v>
      </c>
      <c r="E540">
        <v>12</v>
      </c>
      <c r="F540">
        <v>133</v>
      </c>
    </row>
    <row r="541" spans="1:6" x14ac:dyDescent="0.25">
      <c r="A541">
        <v>135</v>
      </c>
      <c r="B541">
        <v>4</v>
      </c>
      <c r="C541">
        <v>3295</v>
      </c>
      <c r="D541">
        <v>4</v>
      </c>
      <c r="E541">
        <v>8</v>
      </c>
      <c r="F541">
        <v>108</v>
      </c>
    </row>
    <row r="542" spans="1:6" x14ac:dyDescent="0.25">
      <c r="A542">
        <v>136</v>
      </c>
      <c r="B542" t="s">
        <v>35</v>
      </c>
      <c r="C542">
        <v>7813</v>
      </c>
      <c r="D542">
        <v>2</v>
      </c>
      <c r="E542">
        <v>6</v>
      </c>
      <c r="F542">
        <v>107</v>
      </c>
    </row>
    <row r="543" spans="1:6" x14ac:dyDescent="0.25">
      <c r="A543">
        <v>136</v>
      </c>
      <c r="B543" t="s">
        <v>36</v>
      </c>
      <c r="C543">
        <v>1019</v>
      </c>
      <c r="D543">
        <v>4</v>
      </c>
      <c r="E543">
        <v>1</v>
      </c>
      <c r="F543">
        <v>32</v>
      </c>
    </row>
    <row r="544" spans="1:6" x14ac:dyDescent="0.25">
      <c r="A544">
        <v>136</v>
      </c>
      <c r="B544">
        <v>3</v>
      </c>
      <c r="C544">
        <v>9824</v>
      </c>
      <c r="D544">
        <v>1</v>
      </c>
      <c r="E544">
        <v>6</v>
      </c>
      <c r="F544">
        <v>107</v>
      </c>
    </row>
    <row r="545" spans="1:6" x14ac:dyDescent="0.25">
      <c r="A545">
        <v>136</v>
      </c>
      <c r="B545">
        <v>4</v>
      </c>
      <c r="C545">
        <v>2542</v>
      </c>
      <c r="D545">
        <v>3</v>
      </c>
      <c r="E545">
        <v>1</v>
      </c>
      <c r="F545">
        <v>29</v>
      </c>
    </row>
    <row r="546" spans="1:6" x14ac:dyDescent="0.25">
      <c r="A546">
        <v>137</v>
      </c>
      <c r="B546" t="s">
        <v>35</v>
      </c>
      <c r="C546">
        <v>635</v>
      </c>
      <c r="D546">
        <v>4</v>
      </c>
      <c r="E546">
        <v>4</v>
      </c>
      <c r="F546">
        <v>19</v>
      </c>
    </row>
    <row r="547" spans="1:6" x14ac:dyDescent="0.25">
      <c r="A547">
        <v>137</v>
      </c>
      <c r="B547" t="s">
        <v>36</v>
      </c>
      <c r="C547">
        <v>1872</v>
      </c>
      <c r="D547">
        <v>2</v>
      </c>
      <c r="E547">
        <v>5</v>
      </c>
      <c r="F547">
        <v>33</v>
      </c>
    </row>
    <row r="548" spans="1:6" x14ac:dyDescent="0.25">
      <c r="A548">
        <v>137</v>
      </c>
      <c r="B548">
        <v>3</v>
      </c>
      <c r="C548">
        <v>21610</v>
      </c>
      <c r="D548">
        <v>1</v>
      </c>
      <c r="E548">
        <v>0</v>
      </c>
      <c r="F548">
        <v>42</v>
      </c>
    </row>
    <row r="549" spans="1:6" x14ac:dyDescent="0.25">
      <c r="A549">
        <v>137</v>
      </c>
      <c r="B549">
        <v>4</v>
      </c>
      <c r="C549">
        <v>979</v>
      </c>
      <c r="D549">
        <v>3</v>
      </c>
      <c r="E549">
        <v>48</v>
      </c>
      <c r="F549">
        <v>22</v>
      </c>
    </row>
    <row r="550" spans="1:6" x14ac:dyDescent="0.25">
      <c r="A550">
        <v>138</v>
      </c>
      <c r="B550" t="s">
        <v>35</v>
      </c>
      <c r="C550">
        <v>6939</v>
      </c>
      <c r="D550">
        <v>1</v>
      </c>
      <c r="E550">
        <v>1</v>
      </c>
      <c r="F550">
        <v>162</v>
      </c>
    </row>
    <row r="551" spans="1:6" x14ac:dyDescent="0.25">
      <c r="A551">
        <v>138</v>
      </c>
      <c r="B551" t="s">
        <v>36</v>
      </c>
      <c r="C551">
        <v>2500</v>
      </c>
      <c r="D551">
        <v>4</v>
      </c>
      <c r="E551">
        <v>7</v>
      </c>
      <c r="F551">
        <v>91</v>
      </c>
    </row>
    <row r="552" spans="1:6" x14ac:dyDescent="0.25">
      <c r="A552">
        <v>138</v>
      </c>
      <c r="B552">
        <v>3</v>
      </c>
      <c r="C552">
        <v>5508</v>
      </c>
      <c r="D552">
        <v>2</v>
      </c>
      <c r="E552">
        <v>7</v>
      </c>
      <c r="F552">
        <v>136</v>
      </c>
    </row>
    <row r="553" spans="1:6" x14ac:dyDescent="0.25">
      <c r="A553">
        <v>138</v>
      </c>
      <c r="B553">
        <v>4</v>
      </c>
      <c r="C553">
        <v>4461</v>
      </c>
      <c r="D553">
        <v>3</v>
      </c>
      <c r="E553">
        <v>3</v>
      </c>
      <c r="F553">
        <v>97</v>
      </c>
    </row>
    <row r="554" spans="1:6" x14ac:dyDescent="0.25">
      <c r="A554">
        <v>139</v>
      </c>
      <c r="B554" t="s">
        <v>35</v>
      </c>
      <c r="C554">
        <v>7459</v>
      </c>
      <c r="D554">
        <v>1</v>
      </c>
      <c r="E554">
        <v>8</v>
      </c>
      <c r="F554">
        <v>112</v>
      </c>
    </row>
    <row r="555" spans="1:6" x14ac:dyDescent="0.25">
      <c r="A555">
        <v>139</v>
      </c>
      <c r="B555" t="s">
        <v>36</v>
      </c>
      <c r="C555">
        <v>3176</v>
      </c>
      <c r="D555">
        <v>4</v>
      </c>
      <c r="E555">
        <v>6</v>
      </c>
      <c r="F555">
        <v>212</v>
      </c>
    </row>
    <row r="556" spans="1:6" x14ac:dyDescent="0.25">
      <c r="A556">
        <v>139</v>
      </c>
      <c r="B556">
        <v>3</v>
      </c>
      <c r="C556">
        <v>5625</v>
      </c>
      <c r="D556">
        <v>2</v>
      </c>
      <c r="E556">
        <v>1</v>
      </c>
      <c r="F556">
        <v>177</v>
      </c>
    </row>
    <row r="557" spans="1:6" x14ac:dyDescent="0.25">
      <c r="A557">
        <v>139</v>
      </c>
      <c r="B557">
        <v>4</v>
      </c>
      <c r="C557">
        <v>3678</v>
      </c>
      <c r="D557">
        <v>3</v>
      </c>
      <c r="E557">
        <v>5</v>
      </c>
      <c r="F557">
        <v>112</v>
      </c>
    </row>
    <row r="558" spans="1:6" x14ac:dyDescent="0.25">
      <c r="A558">
        <v>140</v>
      </c>
      <c r="B558" t="s">
        <v>35</v>
      </c>
      <c r="C558">
        <v>4279</v>
      </c>
      <c r="D558">
        <v>2</v>
      </c>
      <c r="E558">
        <v>9</v>
      </c>
      <c r="F558">
        <v>185</v>
      </c>
    </row>
    <row r="559" spans="1:6" x14ac:dyDescent="0.25">
      <c r="A559">
        <v>140</v>
      </c>
      <c r="B559" t="s">
        <v>36</v>
      </c>
      <c r="C559">
        <v>41</v>
      </c>
      <c r="D559">
        <v>4</v>
      </c>
      <c r="E559">
        <v>1</v>
      </c>
      <c r="F559">
        <v>4</v>
      </c>
    </row>
    <row r="560" spans="1:6" x14ac:dyDescent="0.25">
      <c r="A560">
        <v>140</v>
      </c>
      <c r="B560">
        <v>3</v>
      </c>
      <c r="C560">
        <v>4352</v>
      </c>
      <c r="D560">
        <v>1</v>
      </c>
      <c r="E560">
        <v>9</v>
      </c>
      <c r="F560">
        <v>177</v>
      </c>
    </row>
    <row r="561" spans="1:6" x14ac:dyDescent="0.25">
      <c r="A561">
        <v>140</v>
      </c>
      <c r="B561">
        <v>4</v>
      </c>
      <c r="C561">
        <v>594</v>
      </c>
      <c r="D561">
        <v>3</v>
      </c>
      <c r="E561">
        <v>1</v>
      </c>
      <c r="F561">
        <v>2</v>
      </c>
    </row>
    <row r="562" spans="1:6" x14ac:dyDescent="0.25">
      <c r="A562">
        <v>141</v>
      </c>
      <c r="B562" t="s">
        <v>35</v>
      </c>
      <c r="C562">
        <v>3995</v>
      </c>
      <c r="D562">
        <v>3</v>
      </c>
      <c r="E562">
        <v>15</v>
      </c>
      <c r="F562">
        <v>109</v>
      </c>
    </row>
    <row r="563" spans="1:6" x14ac:dyDescent="0.25">
      <c r="A563">
        <v>141</v>
      </c>
      <c r="B563" t="s">
        <v>36</v>
      </c>
      <c r="C563">
        <v>6862</v>
      </c>
      <c r="D563">
        <v>1</v>
      </c>
      <c r="E563">
        <v>16</v>
      </c>
      <c r="F563">
        <v>77</v>
      </c>
    </row>
    <row r="564" spans="1:6" x14ac:dyDescent="0.25">
      <c r="A564">
        <v>141</v>
      </c>
      <c r="B564">
        <v>3</v>
      </c>
      <c r="C564">
        <v>1123</v>
      </c>
      <c r="D564">
        <v>4</v>
      </c>
      <c r="E564">
        <v>6</v>
      </c>
      <c r="F564">
        <v>33</v>
      </c>
    </row>
    <row r="565" spans="1:6" x14ac:dyDescent="0.25">
      <c r="A565">
        <v>141</v>
      </c>
      <c r="B565">
        <v>4</v>
      </c>
      <c r="C565">
        <v>6171</v>
      </c>
      <c r="D565">
        <v>2</v>
      </c>
      <c r="E565">
        <v>3</v>
      </c>
      <c r="F565">
        <v>37</v>
      </c>
    </row>
    <row r="566" spans="1:6" x14ac:dyDescent="0.25">
      <c r="A566">
        <v>142</v>
      </c>
      <c r="B566" t="s">
        <v>35</v>
      </c>
      <c r="C566">
        <v>8224</v>
      </c>
      <c r="D566">
        <v>1</v>
      </c>
      <c r="E566">
        <v>7</v>
      </c>
      <c r="F566">
        <v>151</v>
      </c>
    </row>
    <row r="567" spans="1:6" x14ac:dyDescent="0.25">
      <c r="A567">
        <v>142</v>
      </c>
      <c r="B567" t="s">
        <v>36</v>
      </c>
      <c r="C567">
        <v>3165</v>
      </c>
      <c r="D567">
        <v>3</v>
      </c>
      <c r="E567">
        <v>4</v>
      </c>
      <c r="F567">
        <v>66</v>
      </c>
    </row>
    <row r="568" spans="1:6" x14ac:dyDescent="0.25">
      <c r="A568">
        <v>142</v>
      </c>
      <c r="B568">
        <v>3</v>
      </c>
      <c r="C568">
        <v>1705</v>
      </c>
      <c r="D568">
        <v>4</v>
      </c>
      <c r="E568">
        <v>4</v>
      </c>
      <c r="F568">
        <v>54</v>
      </c>
    </row>
    <row r="569" spans="1:6" x14ac:dyDescent="0.25">
      <c r="A569">
        <v>142</v>
      </c>
      <c r="B569">
        <v>4</v>
      </c>
      <c r="C569">
        <v>7390</v>
      </c>
      <c r="D569">
        <v>2</v>
      </c>
      <c r="E569">
        <v>7</v>
      </c>
      <c r="F569">
        <v>162</v>
      </c>
    </row>
    <row r="570" spans="1:6" x14ac:dyDescent="0.25">
      <c r="A570">
        <v>143</v>
      </c>
      <c r="B570" t="s">
        <v>35</v>
      </c>
      <c r="C570">
        <v>9113</v>
      </c>
      <c r="D570">
        <v>1</v>
      </c>
      <c r="E570">
        <v>5</v>
      </c>
      <c r="F570">
        <v>143</v>
      </c>
    </row>
    <row r="571" spans="1:6" x14ac:dyDescent="0.25">
      <c r="A571">
        <v>143</v>
      </c>
      <c r="B571" t="s">
        <v>36</v>
      </c>
      <c r="C571">
        <v>3298</v>
      </c>
      <c r="D571">
        <v>3</v>
      </c>
      <c r="E571">
        <v>11</v>
      </c>
      <c r="F571">
        <v>105</v>
      </c>
    </row>
    <row r="572" spans="1:6" x14ac:dyDescent="0.25">
      <c r="A572">
        <v>143</v>
      </c>
      <c r="B572">
        <v>3</v>
      </c>
      <c r="C572">
        <v>3241</v>
      </c>
      <c r="D572">
        <v>4</v>
      </c>
      <c r="E572">
        <v>8</v>
      </c>
      <c r="F572">
        <v>131</v>
      </c>
    </row>
    <row r="573" spans="1:6" x14ac:dyDescent="0.25">
      <c r="A573">
        <v>143</v>
      </c>
      <c r="B573">
        <v>4</v>
      </c>
      <c r="C573">
        <v>4814</v>
      </c>
      <c r="D573">
        <v>2</v>
      </c>
      <c r="E573">
        <v>3</v>
      </c>
      <c r="F573">
        <v>130</v>
      </c>
    </row>
    <row r="574" spans="1:6" x14ac:dyDescent="0.25">
      <c r="A574">
        <v>144</v>
      </c>
      <c r="B574" t="s">
        <v>35</v>
      </c>
      <c r="C574">
        <v>6961</v>
      </c>
      <c r="D574">
        <v>1</v>
      </c>
      <c r="E574">
        <v>5</v>
      </c>
      <c r="F574">
        <v>121</v>
      </c>
    </row>
    <row r="575" spans="1:6" x14ac:dyDescent="0.25">
      <c r="A575">
        <v>144</v>
      </c>
      <c r="B575" t="s">
        <v>36</v>
      </c>
      <c r="C575">
        <v>4527</v>
      </c>
      <c r="D575">
        <v>3</v>
      </c>
      <c r="E575">
        <v>7</v>
      </c>
      <c r="F575">
        <v>128</v>
      </c>
    </row>
    <row r="576" spans="1:6" x14ac:dyDescent="0.25">
      <c r="A576">
        <v>144</v>
      </c>
      <c r="B576">
        <v>3</v>
      </c>
      <c r="C576">
        <v>2288</v>
      </c>
      <c r="D576">
        <v>4</v>
      </c>
      <c r="E576">
        <v>11</v>
      </c>
      <c r="F576">
        <v>117</v>
      </c>
    </row>
    <row r="577" spans="1:6" x14ac:dyDescent="0.25">
      <c r="A577">
        <v>144</v>
      </c>
      <c r="B577">
        <v>4</v>
      </c>
      <c r="C577">
        <v>6144</v>
      </c>
      <c r="D577">
        <v>2</v>
      </c>
      <c r="E577">
        <v>9</v>
      </c>
      <c r="F577">
        <v>112</v>
      </c>
    </row>
    <row r="578" spans="1:6" x14ac:dyDescent="0.25">
      <c r="A578">
        <v>145</v>
      </c>
      <c r="B578" t="s">
        <v>35</v>
      </c>
      <c r="C578">
        <v>6179</v>
      </c>
      <c r="D578">
        <v>1</v>
      </c>
      <c r="E578">
        <v>2</v>
      </c>
      <c r="F578">
        <v>178</v>
      </c>
    </row>
    <row r="579" spans="1:6" x14ac:dyDescent="0.25">
      <c r="A579">
        <v>145</v>
      </c>
      <c r="B579" t="s">
        <v>36</v>
      </c>
      <c r="C579">
        <v>6149</v>
      </c>
      <c r="D579">
        <v>2</v>
      </c>
      <c r="E579">
        <v>2</v>
      </c>
      <c r="F579">
        <v>194</v>
      </c>
    </row>
    <row r="580" spans="1:6" x14ac:dyDescent="0.25">
      <c r="A580">
        <v>145</v>
      </c>
      <c r="B580">
        <v>3</v>
      </c>
      <c r="C580">
        <v>4403</v>
      </c>
      <c r="D580">
        <v>4</v>
      </c>
      <c r="E580">
        <v>2</v>
      </c>
      <c r="F580">
        <v>163</v>
      </c>
    </row>
    <row r="581" spans="1:6" x14ac:dyDescent="0.25">
      <c r="A581">
        <v>145</v>
      </c>
      <c r="B581">
        <v>4</v>
      </c>
      <c r="C581">
        <v>5433</v>
      </c>
      <c r="D581">
        <v>3</v>
      </c>
      <c r="E581">
        <v>4</v>
      </c>
      <c r="F581">
        <v>171</v>
      </c>
    </row>
    <row r="582" spans="1:6" x14ac:dyDescent="0.25">
      <c r="A582">
        <v>146</v>
      </c>
      <c r="B582" t="s">
        <v>35</v>
      </c>
      <c r="C582">
        <v>7387</v>
      </c>
      <c r="D582">
        <v>2</v>
      </c>
      <c r="E582">
        <v>3</v>
      </c>
      <c r="F582">
        <v>148</v>
      </c>
    </row>
    <row r="583" spans="1:6" x14ac:dyDescent="0.25">
      <c r="A583">
        <v>146</v>
      </c>
      <c r="B583" t="s">
        <v>36</v>
      </c>
      <c r="C583">
        <v>7670</v>
      </c>
      <c r="D583">
        <v>1</v>
      </c>
      <c r="E583">
        <v>3</v>
      </c>
      <c r="F583">
        <v>157</v>
      </c>
    </row>
    <row r="584" spans="1:6" x14ac:dyDescent="0.25">
      <c r="A584">
        <v>146</v>
      </c>
      <c r="B584">
        <v>3</v>
      </c>
      <c r="C584">
        <v>3431</v>
      </c>
      <c r="D584">
        <v>3</v>
      </c>
      <c r="E584">
        <v>2</v>
      </c>
      <c r="F584">
        <v>66</v>
      </c>
    </row>
    <row r="585" spans="1:6" x14ac:dyDescent="0.25">
      <c r="A585">
        <v>146</v>
      </c>
      <c r="B585">
        <v>4</v>
      </c>
      <c r="C585">
        <v>2978</v>
      </c>
      <c r="D585">
        <v>4</v>
      </c>
      <c r="E585">
        <v>2</v>
      </c>
      <c r="F585">
        <v>73</v>
      </c>
    </row>
    <row r="586" spans="1:6" x14ac:dyDescent="0.25">
      <c r="A586">
        <v>147</v>
      </c>
      <c r="B586" t="s">
        <v>35</v>
      </c>
      <c r="C586">
        <v>3320</v>
      </c>
      <c r="D586">
        <v>2</v>
      </c>
      <c r="E586">
        <v>6</v>
      </c>
      <c r="F586">
        <v>35</v>
      </c>
    </row>
    <row r="587" spans="1:6" x14ac:dyDescent="0.25">
      <c r="A587">
        <v>147</v>
      </c>
      <c r="B587" t="s">
        <v>36</v>
      </c>
      <c r="C587">
        <v>5003</v>
      </c>
      <c r="D587">
        <v>1</v>
      </c>
      <c r="E587">
        <v>0</v>
      </c>
      <c r="F587">
        <v>16</v>
      </c>
    </row>
    <row r="588" spans="1:6" x14ac:dyDescent="0.25">
      <c r="A588">
        <v>147</v>
      </c>
      <c r="B588">
        <v>3</v>
      </c>
      <c r="C588">
        <v>1230</v>
      </c>
      <c r="D588">
        <v>3</v>
      </c>
      <c r="E588">
        <v>4</v>
      </c>
      <c r="F588">
        <v>36</v>
      </c>
    </row>
    <row r="589" spans="1:6" x14ac:dyDescent="0.25">
      <c r="A589">
        <v>147</v>
      </c>
      <c r="B589">
        <v>4</v>
      </c>
      <c r="C589">
        <v>1060</v>
      </c>
      <c r="D589">
        <v>4</v>
      </c>
      <c r="E589">
        <v>0</v>
      </c>
      <c r="F589">
        <v>15</v>
      </c>
    </row>
    <row r="590" spans="1:6" x14ac:dyDescent="0.25">
      <c r="A590">
        <v>148</v>
      </c>
      <c r="B590" t="s">
        <v>35</v>
      </c>
      <c r="C590">
        <v>5972</v>
      </c>
      <c r="D590">
        <v>2</v>
      </c>
      <c r="E590">
        <v>1</v>
      </c>
      <c r="F590">
        <v>152</v>
      </c>
    </row>
    <row r="591" spans="1:6" x14ac:dyDescent="0.25">
      <c r="A591">
        <v>148</v>
      </c>
      <c r="B591" t="s">
        <v>36</v>
      </c>
      <c r="C591">
        <v>4399</v>
      </c>
      <c r="D591">
        <v>3</v>
      </c>
      <c r="E591">
        <v>4</v>
      </c>
      <c r="F591">
        <v>124</v>
      </c>
    </row>
    <row r="592" spans="1:6" x14ac:dyDescent="0.25">
      <c r="A592">
        <v>148</v>
      </c>
      <c r="B592">
        <v>3</v>
      </c>
      <c r="C592">
        <v>7316</v>
      </c>
      <c r="D592">
        <v>1</v>
      </c>
      <c r="E592">
        <v>1</v>
      </c>
      <c r="F592">
        <v>156</v>
      </c>
    </row>
    <row r="593" spans="1:6" x14ac:dyDescent="0.25">
      <c r="A593">
        <v>148</v>
      </c>
      <c r="B593">
        <v>4</v>
      </c>
      <c r="C593">
        <v>4116</v>
      </c>
      <c r="D593">
        <v>4</v>
      </c>
      <c r="E593">
        <v>3</v>
      </c>
      <c r="F593">
        <v>121</v>
      </c>
    </row>
    <row r="594" spans="1:6" x14ac:dyDescent="0.25">
      <c r="A594">
        <v>149</v>
      </c>
      <c r="B594" t="s">
        <v>35</v>
      </c>
      <c r="C594">
        <v>9587</v>
      </c>
      <c r="D594">
        <v>1</v>
      </c>
      <c r="E594">
        <v>26</v>
      </c>
      <c r="F594">
        <v>141</v>
      </c>
    </row>
    <row r="595" spans="1:6" x14ac:dyDescent="0.25">
      <c r="A595">
        <v>149</v>
      </c>
      <c r="B595" t="s">
        <v>36</v>
      </c>
      <c r="C595">
        <v>2979</v>
      </c>
      <c r="D595">
        <v>2</v>
      </c>
      <c r="E595">
        <v>25</v>
      </c>
      <c r="F595">
        <v>59</v>
      </c>
    </row>
    <row r="596" spans="1:6" x14ac:dyDescent="0.25">
      <c r="A596">
        <v>149</v>
      </c>
      <c r="B596">
        <v>3</v>
      </c>
      <c r="C596">
        <v>1177</v>
      </c>
      <c r="D596">
        <v>4</v>
      </c>
      <c r="E596">
        <v>0</v>
      </c>
      <c r="F596">
        <v>48</v>
      </c>
    </row>
    <row r="597" spans="1:6" x14ac:dyDescent="0.25">
      <c r="A597">
        <v>149</v>
      </c>
      <c r="B597">
        <v>4</v>
      </c>
      <c r="C597">
        <v>1509</v>
      </c>
      <c r="D597">
        <v>3</v>
      </c>
      <c r="E597">
        <v>0</v>
      </c>
      <c r="F597">
        <v>121</v>
      </c>
    </row>
    <row r="598" spans="1:6" x14ac:dyDescent="0.25">
      <c r="A598">
        <v>150</v>
      </c>
      <c r="B598" t="s">
        <v>35</v>
      </c>
      <c r="C598">
        <v>6039</v>
      </c>
      <c r="D598">
        <v>2</v>
      </c>
      <c r="E598">
        <v>6</v>
      </c>
      <c r="F598">
        <v>151</v>
      </c>
    </row>
    <row r="599" spans="1:6" x14ac:dyDescent="0.25">
      <c r="A599">
        <v>150</v>
      </c>
      <c r="B599" t="s">
        <v>36</v>
      </c>
      <c r="C599">
        <v>4677</v>
      </c>
      <c r="D599">
        <v>3</v>
      </c>
      <c r="E599">
        <v>12</v>
      </c>
      <c r="F599">
        <v>130</v>
      </c>
    </row>
    <row r="600" spans="1:6" x14ac:dyDescent="0.25">
      <c r="A600">
        <v>150</v>
      </c>
      <c r="B600">
        <v>3</v>
      </c>
      <c r="C600">
        <v>3079</v>
      </c>
      <c r="D600">
        <v>4</v>
      </c>
      <c r="E600">
        <v>7</v>
      </c>
      <c r="F600">
        <v>128</v>
      </c>
    </row>
    <row r="601" spans="1:6" x14ac:dyDescent="0.25">
      <c r="A601">
        <v>150</v>
      </c>
      <c r="B601">
        <v>4</v>
      </c>
      <c r="C601">
        <v>6955</v>
      </c>
      <c r="D601">
        <v>1</v>
      </c>
      <c r="E601">
        <v>4</v>
      </c>
      <c r="F601">
        <v>155</v>
      </c>
    </row>
    <row r="602" spans="1:6" x14ac:dyDescent="0.25">
      <c r="A602">
        <v>151</v>
      </c>
      <c r="B602" t="s">
        <v>35</v>
      </c>
      <c r="C602">
        <v>9376</v>
      </c>
      <c r="D602">
        <v>1</v>
      </c>
      <c r="E602">
        <v>10</v>
      </c>
      <c r="F602">
        <v>126</v>
      </c>
    </row>
    <row r="603" spans="1:6" x14ac:dyDescent="0.25">
      <c r="A603">
        <v>151</v>
      </c>
      <c r="B603" t="s">
        <v>36</v>
      </c>
      <c r="C603">
        <v>3983</v>
      </c>
      <c r="D603">
        <v>3</v>
      </c>
      <c r="E603">
        <v>9</v>
      </c>
      <c r="F603">
        <v>85</v>
      </c>
    </row>
    <row r="604" spans="1:6" x14ac:dyDescent="0.25">
      <c r="A604">
        <v>151</v>
      </c>
      <c r="B604">
        <v>3</v>
      </c>
      <c r="C604">
        <v>1403</v>
      </c>
      <c r="D604">
        <v>4</v>
      </c>
      <c r="E604">
        <v>9</v>
      </c>
      <c r="F604">
        <v>53</v>
      </c>
    </row>
    <row r="605" spans="1:6" x14ac:dyDescent="0.25">
      <c r="A605">
        <v>151</v>
      </c>
      <c r="B605">
        <v>4</v>
      </c>
      <c r="C605">
        <v>4997</v>
      </c>
      <c r="D605">
        <v>2</v>
      </c>
      <c r="E605">
        <v>4</v>
      </c>
      <c r="F605">
        <v>58</v>
      </c>
    </row>
    <row r="606" spans="1:6" x14ac:dyDescent="0.25">
      <c r="A606">
        <v>152</v>
      </c>
      <c r="B606" t="s">
        <v>35</v>
      </c>
      <c r="C606">
        <v>7300</v>
      </c>
      <c r="D606">
        <v>1</v>
      </c>
      <c r="E606">
        <v>7</v>
      </c>
      <c r="F606">
        <v>128</v>
      </c>
    </row>
    <row r="607" spans="1:6" x14ac:dyDescent="0.25">
      <c r="A607">
        <v>152</v>
      </c>
      <c r="B607" t="s">
        <v>36</v>
      </c>
      <c r="C607">
        <v>4160</v>
      </c>
      <c r="D607">
        <v>3</v>
      </c>
      <c r="E607">
        <v>12</v>
      </c>
      <c r="F607">
        <v>95</v>
      </c>
    </row>
    <row r="608" spans="1:6" x14ac:dyDescent="0.25">
      <c r="A608">
        <v>152</v>
      </c>
      <c r="B608">
        <v>3</v>
      </c>
      <c r="C608">
        <v>4544</v>
      </c>
      <c r="D608">
        <v>2</v>
      </c>
      <c r="E608">
        <v>10</v>
      </c>
      <c r="F608">
        <v>109</v>
      </c>
    </row>
    <row r="609" spans="1:6" x14ac:dyDescent="0.25">
      <c r="A609">
        <v>152</v>
      </c>
      <c r="B609">
        <v>4</v>
      </c>
      <c r="C609">
        <v>2513</v>
      </c>
      <c r="D609">
        <v>4</v>
      </c>
      <c r="E609">
        <v>18</v>
      </c>
      <c r="F609">
        <v>82</v>
      </c>
    </row>
    <row r="610" spans="1:6" x14ac:dyDescent="0.25">
      <c r="A610">
        <v>153</v>
      </c>
      <c r="B610" t="s">
        <v>35</v>
      </c>
      <c r="C610">
        <v>4728</v>
      </c>
      <c r="D610">
        <v>3</v>
      </c>
      <c r="E610">
        <v>11</v>
      </c>
      <c r="F610">
        <v>150</v>
      </c>
    </row>
    <row r="611" spans="1:6" x14ac:dyDescent="0.25">
      <c r="A611">
        <v>153</v>
      </c>
      <c r="B611" t="s">
        <v>36</v>
      </c>
      <c r="C611">
        <v>4978</v>
      </c>
      <c r="D611">
        <v>2</v>
      </c>
      <c r="E611">
        <v>10</v>
      </c>
      <c r="F611">
        <v>160</v>
      </c>
    </row>
    <row r="612" spans="1:6" x14ac:dyDescent="0.25">
      <c r="A612">
        <v>153</v>
      </c>
      <c r="B612">
        <v>3</v>
      </c>
      <c r="C612">
        <v>3951</v>
      </c>
      <c r="D612">
        <v>4</v>
      </c>
      <c r="E612">
        <v>8</v>
      </c>
      <c r="F612">
        <v>136</v>
      </c>
    </row>
    <row r="613" spans="1:6" x14ac:dyDescent="0.25">
      <c r="A613">
        <v>153</v>
      </c>
      <c r="B613">
        <v>4</v>
      </c>
      <c r="C613">
        <v>5246</v>
      </c>
      <c r="D613">
        <v>1</v>
      </c>
      <c r="E613">
        <v>7</v>
      </c>
      <c r="F613">
        <v>131</v>
      </c>
    </row>
    <row r="614" spans="1:6" x14ac:dyDescent="0.25">
      <c r="A614">
        <v>154</v>
      </c>
      <c r="B614" t="s">
        <v>35</v>
      </c>
      <c r="C614">
        <v>1572</v>
      </c>
      <c r="D614">
        <v>4</v>
      </c>
      <c r="E614">
        <v>31</v>
      </c>
      <c r="F614">
        <v>140</v>
      </c>
    </row>
    <row r="615" spans="1:6" x14ac:dyDescent="0.25">
      <c r="A615">
        <v>154</v>
      </c>
      <c r="B615" t="s">
        <v>36</v>
      </c>
      <c r="C615">
        <v>4035</v>
      </c>
      <c r="D615">
        <v>2</v>
      </c>
      <c r="E615">
        <v>26</v>
      </c>
      <c r="F615">
        <v>145</v>
      </c>
    </row>
    <row r="616" spans="1:6" x14ac:dyDescent="0.25">
      <c r="A616">
        <v>154</v>
      </c>
      <c r="B616">
        <v>3</v>
      </c>
      <c r="C616">
        <v>3659</v>
      </c>
      <c r="D616">
        <v>3</v>
      </c>
      <c r="E616">
        <v>10</v>
      </c>
      <c r="F616">
        <v>104</v>
      </c>
    </row>
    <row r="617" spans="1:6" x14ac:dyDescent="0.25">
      <c r="A617">
        <v>154</v>
      </c>
      <c r="B617">
        <v>4</v>
      </c>
      <c r="C617">
        <v>8408</v>
      </c>
      <c r="D617">
        <v>1</v>
      </c>
      <c r="E617">
        <v>14</v>
      </c>
      <c r="F617">
        <v>110</v>
      </c>
    </row>
    <row r="618" spans="1:6" x14ac:dyDescent="0.25">
      <c r="A618">
        <v>155</v>
      </c>
      <c r="B618" t="s">
        <v>35</v>
      </c>
      <c r="C618">
        <v>11663</v>
      </c>
      <c r="D618">
        <v>1</v>
      </c>
      <c r="E618">
        <v>2</v>
      </c>
      <c r="F618">
        <v>133</v>
      </c>
    </row>
    <row r="619" spans="1:6" x14ac:dyDescent="0.25">
      <c r="A619">
        <v>155</v>
      </c>
      <c r="B619" t="s">
        <v>36</v>
      </c>
      <c r="C619">
        <v>2614</v>
      </c>
      <c r="D619">
        <v>3</v>
      </c>
      <c r="E619">
        <v>0</v>
      </c>
      <c r="F619">
        <v>25</v>
      </c>
    </row>
    <row r="620" spans="1:6" x14ac:dyDescent="0.25">
      <c r="A620">
        <v>155</v>
      </c>
      <c r="B620">
        <v>3</v>
      </c>
      <c r="C620">
        <v>6181</v>
      </c>
      <c r="D620">
        <v>2</v>
      </c>
      <c r="E620">
        <v>2</v>
      </c>
      <c r="F620">
        <v>134</v>
      </c>
    </row>
    <row r="621" spans="1:6" x14ac:dyDescent="0.25">
      <c r="A621">
        <v>155</v>
      </c>
      <c r="B621">
        <v>4</v>
      </c>
      <c r="C621">
        <v>749</v>
      </c>
      <c r="D621">
        <v>4</v>
      </c>
      <c r="E621">
        <v>0</v>
      </c>
      <c r="F621">
        <v>22</v>
      </c>
    </row>
    <row r="622" spans="1:6" x14ac:dyDescent="0.25">
      <c r="A622">
        <v>156</v>
      </c>
      <c r="B622" t="s">
        <v>35</v>
      </c>
      <c r="C622">
        <v>3795</v>
      </c>
      <c r="D622">
        <v>4</v>
      </c>
      <c r="E622">
        <v>10</v>
      </c>
      <c r="F622">
        <v>133</v>
      </c>
    </row>
    <row r="623" spans="1:6" x14ac:dyDescent="0.25">
      <c r="A623">
        <v>156</v>
      </c>
      <c r="B623" t="s">
        <v>36</v>
      </c>
      <c r="C623">
        <v>7136</v>
      </c>
      <c r="D623">
        <v>1</v>
      </c>
      <c r="E623">
        <v>7</v>
      </c>
      <c r="F623">
        <v>138</v>
      </c>
    </row>
    <row r="624" spans="1:6" x14ac:dyDescent="0.25">
      <c r="A624">
        <v>156</v>
      </c>
      <c r="B624">
        <v>3</v>
      </c>
      <c r="C624">
        <v>5056</v>
      </c>
      <c r="D624">
        <v>3</v>
      </c>
      <c r="E624">
        <v>9</v>
      </c>
      <c r="F624">
        <v>112</v>
      </c>
    </row>
    <row r="625" spans="1:6" x14ac:dyDescent="0.25">
      <c r="A625">
        <v>156</v>
      </c>
      <c r="B625">
        <v>4</v>
      </c>
      <c r="C625">
        <v>5271</v>
      </c>
      <c r="D625">
        <v>2</v>
      </c>
      <c r="E625">
        <v>3</v>
      </c>
      <c r="F625">
        <v>144</v>
      </c>
    </row>
    <row r="626" spans="1:6" x14ac:dyDescent="0.25">
      <c r="A626">
        <v>157</v>
      </c>
      <c r="B626" t="s">
        <v>35</v>
      </c>
      <c r="C626">
        <v>6374</v>
      </c>
      <c r="D626">
        <v>2</v>
      </c>
      <c r="E626">
        <v>3</v>
      </c>
      <c r="F626">
        <v>136</v>
      </c>
    </row>
    <row r="627" spans="1:6" x14ac:dyDescent="0.25">
      <c r="A627">
        <v>157</v>
      </c>
      <c r="B627" t="s">
        <v>36</v>
      </c>
      <c r="C627">
        <v>2757</v>
      </c>
      <c r="D627">
        <v>3</v>
      </c>
      <c r="E627">
        <v>8</v>
      </c>
      <c r="F627">
        <v>64</v>
      </c>
    </row>
    <row r="628" spans="1:6" x14ac:dyDescent="0.25">
      <c r="A628">
        <v>157</v>
      </c>
      <c r="B628">
        <v>3</v>
      </c>
      <c r="C628">
        <v>9950</v>
      </c>
      <c r="D628">
        <v>1</v>
      </c>
      <c r="E628">
        <v>3</v>
      </c>
      <c r="F628">
        <v>140</v>
      </c>
    </row>
    <row r="629" spans="1:6" x14ac:dyDescent="0.25">
      <c r="A629">
        <v>157</v>
      </c>
      <c r="B629">
        <v>4</v>
      </c>
      <c r="C629">
        <v>2345</v>
      </c>
      <c r="D629">
        <v>4</v>
      </c>
      <c r="E629">
        <v>9</v>
      </c>
      <c r="F629">
        <v>63</v>
      </c>
    </row>
    <row r="630" spans="1:6" x14ac:dyDescent="0.25">
      <c r="A630">
        <v>158</v>
      </c>
      <c r="B630" t="s">
        <v>35</v>
      </c>
      <c r="C630">
        <v>5002</v>
      </c>
      <c r="D630">
        <v>3</v>
      </c>
      <c r="E630">
        <v>8</v>
      </c>
      <c r="F630">
        <v>127</v>
      </c>
    </row>
    <row r="631" spans="1:6" x14ac:dyDescent="0.25">
      <c r="A631">
        <v>158</v>
      </c>
      <c r="B631" t="s">
        <v>36</v>
      </c>
      <c r="C631">
        <v>5393</v>
      </c>
      <c r="D631">
        <v>1</v>
      </c>
      <c r="E631">
        <v>13</v>
      </c>
      <c r="F631">
        <v>111</v>
      </c>
    </row>
    <row r="632" spans="1:6" x14ac:dyDescent="0.25">
      <c r="A632">
        <v>158</v>
      </c>
      <c r="B632">
        <v>3</v>
      </c>
      <c r="C632">
        <v>4615</v>
      </c>
      <c r="D632">
        <v>4</v>
      </c>
      <c r="E632">
        <v>19</v>
      </c>
      <c r="F632">
        <v>119</v>
      </c>
    </row>
    <row r="633" spans="1:6" x14ac:dyDescent="0.25">
      <c r="A633">
        <v>158</v>
      </c>
      <c r="B633">
        <v>4</v>
      </c>
      <c r="C633">
        <v>5071</v>
      </c>
      <c r="D633">
        <v>2</v>
      </c>
      <c r="E633">
        <v>11</v>
      </c>
      <c r="F633">
        <v>131</v>
      </c>
    </row>
    <row r="634" spans="1:6" x14ac:dyDescent="0.25">
      <c r="A634">
        <v>159</v>
      </c>
      <c r="B634" t="s">
        <v>35</v>
      </c>
      <c r="C634">
        <v>10308</v>
      </c>
      <c r="D634">
        <v>1</v>
      </c>
      <c r="E634">
        <v>15</v>
      </c>
      <c r="F634">
        <v>111</v>
      </c>
    </row>
    <row r="635" spans="1:6" x14ac:dyDescent="0.25">
      <c r="A635">
        <v>159</v>
      </c>
      <c r="B635" t="s">
        <v>36</v>
      </c>
      <c r="C635">
        <v>1570</v>
      </c>
      <c r="D635">
        <v>4</v>
      </c>
      <c r="E635">
        <v>4</v>
      </c>
      <c r="F635">
        <v>48</v>
      </c>
    </row>
    <row r="636" spans="1:6" x14ac:dyDescent="0.25">
      <c r="A636">
        <v>159</v>
      </c>
      <c r="B636">
        <v>3</v>
      </c>
      <c r="C636">
        <v>2164</v>
      </c>
      <c r="D636">
        <v>3</v>
      </c>
      <c r="E636">
        <v>2</v>
      </c>
      <c r="F636">
        <v>38</v>
      </c>
    </row>
    <row r="637" spans="1:6" x14ac:dyDescent="0.25">
      <c r="A637">
        <v>159</v>
      </c>
      <c r="B637">
        <v>4</v>
      </c>
      <c r="C637">
        <v>3809</v>
      </c>
      <c r="D637">
        <v>2</v>
      </c>
      <c r="E637">
        <v>19</v>
      </c>
      <c r="F637">
        <v>91</v>
      </c>
    </row>
    <row r="638" spans="1:6" x14ac:dyDescent="0.25">
      <c r="A638">
        <v>160</v>
      </c>
      <c r="B638" t="s">
        <v>35</v>
      </c>
      <c r="C638">
        <v>4428</v>
      </c>
      <c r="D638">
        <v>2</v>
      </c>
      <c r="E638">
        <v>5</v>
      </c>
      <c r="F638">
        <v>256</v>
      </c>
    </row>
    <row r="639" spans="1:6" x14ac:dyDescent="0.25">
      <c r="A639">
        <v>160</v>
      </c>
      <c r="B639" t="s">
        <v>36</v>
      </c>
      <c r="C639">
        <v>7127</v>
      </c>
      <c r="D639">
        <v>1</v>
      </c>
      <c r="E639">
        <v>7</v>
      </c>
      <c r="F639">
        <v>89</v>
      </c>
    </row>
    <row r="640" spans="1:6" x14ac:dyDescent="0.25">
      <c r="A640">
        <v>160</v>
      </c>
      <c r="B640">
        <v>3</v>
      </c>
      <c r="C640">
        <v>3256</v>
      </c>
      <c r="D640">
        <v>3</v>
      </c>
      <c r="E640">
        <v>5</v>
      </c>
      <c r="F640">
        <v>272</v>
      </c>
    </row>
    <row r="641" spans="1:6" x14ac:dyDescent="0.25">
      <c r="A641">
        <v>160</v>
      </c>
      <c r="B641">
        <v>4</v>
      </c>
      <c r="C641">
        <v>3155</v>
      </c>
      <c r="D641">
        <v>4</v>
      </c>
      <c r="E641">
        <v>1</v>
      </c>
      <c r="F641">
        <v>133</v>
      </c>
    </row>
    <row r="642" spans="1:6" x14ac:dyDescent="0.25">
      <c r="A642">
        <v>161</v>
      </c>
      <c r="B642" t="s">
        <v>35</v>
      </c>
      <c r="C642">
        <v>6124</v>
      </c>
      <c r="D642">
        <v>1</v>
      </c>
      <c r="E642">
        <v>3</v>
      </c>
      <c r="F642">
        <v>141</v>
      </c>
    </row>
    <row r="643" spans="1:6" x14ac:dyDescent="0.25">
      <c r="A643">
        <v>161</v>
      </c>
      <c r="B643" t="s">
        <v>36</v>
      </c>
      <c r="C643">
        <v>5255</v>
      </c>
      <c r="D643">
        <v>3</v>
      </c>
      <c r="E643">
        <v>4</v>
      </c>
      <c r="F643">
        <v>134</v>
      </c>
    </row>
    <row r="644" spans="1:6" x14ac:dyDescent="0.25">
      <c r="A644">
        <v>161</v>
      </c>
      <c r="B644">
        <v>3</v>
      </c>
      <c r="C644">
        <v>4748</v>
      </c>
      <c r="D644">
        <v>4</v>
      </c>
      <c r="E644">
        <v>4</v>
      </c>
      <c r="F644">
        <v>145</v>
      </c>
    </row>
    <row r="645" spans="1:6" x14ac:dyDescent="0.25">
      <c r="A645">
        <v>161</v>
      </c>
      <c r="B645">
        <v>4</v>
      </c>
      <c r="C645">
        <v>5501</v>
      </c>
      <c r="D645">
        <v>2</v>
      </c>
      <c r="E645">
        <v>5</v>
      </c>
      <c r="F645">
        <v>132</v>
      </c>
    </row>
    <row r="646" spans="1:6" x14ac:dyDescent="0.25">
      <c r="A646">
        <v>162</v>
      </c>
      <c r="B646" t="s">
        <v>35</v>
      </c>
      <c r="C646">
        <v>4041</v>
      </c>
      <c r="D646">
        <v>2</v>
      </c>
      <c r="E646">
        <v>8</v>
      </c>
      <c r="F646">
        <v>105</v>
      </c>
    </row>
    <row r="647" spans="1:6" x14ac:dyDescent="0.25">
      <c r="A647">
        <v>162</v>
      </c>
      <c r="B647" t="s">
        <v>36</v>
      </c>
      <c r="C647">
        <v>1188</v>
      </c>
      <c r="D647">
        <v>4</v>
      </c>
      <c r="E647">
        <v>8</v>
      </c>
      <c r="F647">
        <v>102</v>
      </c>
    </row>
    <row r="648" spans="1:6" x14ac:dyDescent="0.25">
      <c r="A648">
        <v>162</v>
      </c>
      <c r="B648">
        <v>3</v>
      </c>
      <c r="C648">
        <v>1596</v>
      </c>
      <c r="D648">
        <v>3</v>
      </c>
      <c r="E648">
        <v>1</v>
      </c>
      <c r="F648">
        <v>28</v>
      </c>
    </row>
    <row r="649" spans="1:6" x14ac:dyDescent="0.25">
      <c r="A649">
        <v>162</v>
      </c>
      <c r="B649">
        <v>4</v>
      </c>
      <c r="C649">
        <v>4473</v>
      </c>
      <c r="D649">
        <v>1</v>
      </c>
      <c r="E649">
        <v>1</v>
      </c>
      <c r="F649">
        <v>30</v>
      </c>
    </row>
    <row r="650" spans="1:6" x14ac:dyDescent="0.25">
      <c r="A650">
        <v>163</v>
      </c>
      <c r="B650" t="s">
        <v>35</v>
      </c>
      <c r="C650">
        <v>6589</v>
      </c>
      <c r="D650">
        <v>2</v>
      </c>
      <c r="E650">
        <v>5</v>
      </c>
      <c r="F650">
        <v>116</v>
      </c>
    </row>
    <row r="651" spans="1:6" x14ac:dyDescent="0.25">
      <c r="A651">
        <v>163</v>
      </c>
      <c r="B651" t="s">
        <v>36</v>
      </c>
      <c r="C651">
        <v>3947</v>
      </c>
      <c r="D651">
        <v>3</v>
      </c>
      <c r="E651">
        <v>5</v>
      </c>
      <c r="F651">
        <v>19</v>
      </c>
    </row>
    <row r="652" spans="1:6" x14ac:dyDescent="0.25">
      <c r="A652">
        <v>163</v>
      </c>
      <c r="B652">
        <v>3</v>
      </c>
      <c r="C652">
        <v>8394</v>
      </c>
      <c r="D652">
        <v>1</v>
      </c>
      <c r="E652">
        <v>5</v>
      </c>
      <c r="F652">
        <v>121</v>
      </c>
    </row>
    <row r="653" spans="1:6" x14ac:dyDescent="0.25">
      <c r="A653">
        <v>163</v>
      </c>
      <c r="B653">
        <v>4</v>
      </c>
      <c r="C653">
        <v>270</v>
      </c>
      <c r="D653">
        <v>4</v>
      </c>
      <c r="E653">
        <v>6</v>
      </c>
      <c r="F653">
        <v>17</v>
      </c>
    </row>
    <row r="654" spans="1:6" x14ac:dyDescent="0.25">
      <c r="A654">
        <v>164</v>
      </c>
      <c r="B654" t="s">
        <v>35</v>
      </c>
      <c r="C654">
        <v>5376</v>
      </c>
      <c r="D654">
        <v>3</v>
      </c>
      <c r="E654">
        <v>9</v>
      </c>
      <c r="F654">
        <v>133</v>
      </c>
    </row>
    <row r="655" spans="1:6" x14ac:dyDescent="0.25">
      <c r="A655">
        <v>164</v>
      </c>
      <c r="B655" t="s">
        <v>36</v>
      </c>
      <c r="C655">
        <v>6129</v>
      </c>
      <c r="D655">
        <v>1</v>
      </c>
      <c r="E655">
        <v>9</v>
      </c>
      <c r="F655">
        <v>142</v>
      </c>
    </row>
    <row r="656" spans="1:6" x14ac:dyDescent="0.25">
      <c r="A656">
        <v>164</v>
      </c>
      <c r="B656">
        <v>3</v>
      </c>
      <c r="C656">
        <v>3571</v>
      </c>
      <c r="D656">
        <v>4</v>
      </c>
      <c r="E656">
        <v>8</v>
      </c>
      <c r="F656">
        <v>118</v>
      </c>
    </row>
    <row r="657" spans="1:6" x14ac:dyDescent="0.25">
      <c r="A657">
        <v>164</v>
      </c>
      <c r="B657">
        <v>4</v>
      </c>
      <c r="C657">
        <v>5455</v>
      </c>
      <c r="D657">
        <v>2</v>
      </c>
      <c r="E657">
        <v>6</v>
      </c>
      <c r="F657">
        <v>129</v>
      </c>
    </row>
    <row r="658" spans="1:6" x14ac:dyDescent="0.25">
      <c r="A658">
        <v>165</v>
      </c>
      <c r="B658" t="s">
        <v>35</v>
      </c>
      <c r="C658">
        <v>5715</v>
      </c>
      <c r="D658">
        <v>2</v>
      </c>
      <c r="E658">
        <v>9</v>
      </c>
      <c r="F658">
        <v>147</v>
      </c>
    </row>
    <row r="659" spans="1:6" x14ac:dyDescent="0.25">
      <c r="A659">
        <v>165</v>
      </c>
      <c r="B659" t="s">
        <v>36</v>
      </c>
      <c r="C659">
        <v>5902</v>
      </c>
      <c r="D659">
        <v>1</v>
      </c>
      <c r="E659">
        <v>9</v>
      </c>
      <c r="F659">
        <v>157</v>
      </c>
    </row>
    <row r="660" spans="1:6" x14ac:dyDescent="0.25">
      <c r="A660">
        <v>165</v>
      </c>
      <c r="B660">
        <v>3</v>
      </c>
      <c r="C660">
        <v>5536</v>
      </c>
      <c r="D660">
        <v>3</v>
      </c>
      <c r="E660">
        <v>5</v>
      </c>
      <c r="F660">
        <v>142</v>
      </c>
    </row>
    <row r="661" spans="1:6" x14ac:dyDescent="0.25">
      <c r="A661">
        <v>165</v>
      </c>
      <c r="B661">
        <v>4</v>
      </c>
      <c r="C661">
        <v>5316</v>
      </c>
      <c r="D661">
        <v>4</v>
      </c>
      <c r="E661">
        <v>9</v>
      </c>
      <c r="F661">
        <v>154</v>
      </c>
    </row>
    <row r="662" spans="1:6" x14ac:dyDescent="0.25">
      <c r="A662">
        <v>166</v>
      </c>
      <c r="B662" t="s">
        <v>35</v>
      </c>
      <c r="C662">
        <v>4458</v>
      </c>
      <c r="D662">
        <v>2</v>
      </c>
      <c r="E662">
        <v>9</v>
      </c>
      <c r="F662">
        <v>154</v>
      </c>
    </row>
    <row r="663" spans="1:6" x14ac:dyDescent="0.25">
      <c r="A663">
        <v>166</v>
      </c>
      <c r="B663" t="s">
        <v>36</v>
      </c>
      <c r="C663">
        <v>3144</v>
      </c>
      <c r="D663">
        <v>4</v>
      </c>
      <c r="E663">
        <v>2</v>
      </c>
      <c r="F663">
        <v>81</v>
      </c>
    </row>
    <row r="664" spans="1:6" x14ac:dyDescent="0.25">
      <c r="A664">
        <v>166</v>
      </c>
      <c r="B664">
        <v>3</v>
      </c>
      <c r="C664">
        <v>3260</v>
      </c>
      <c r="D664">
        <v>3</v>
      </c>
      <c r="E664">
        <v>0</v>
      </c>
      <c r="F664">
        <v>68</v>
      </c>
    </row>
    <row r="665" spans="1:6" x14ac:dyDescent="0.25">
      <c r="A665">
        <v>166</v>
      </c>
      <c r="B665">
        <v>4</v>
      </c>
      <c r="C665">
        <v>9539</v>
      </c>
      <c r="D665">
        <v>1</v>
      </c>
      <c r="E665">
        <v>7</v>
      </c>
      <c r="F665">
        <v>166</v>
      </c>
    </row>
    <row r="666" spans="1:6" x14ac:dyDescent="0.25">
      <c r="A666">
        <v>167</v>
      </c>
      <c r="B666" t="s">
        <v>35</v>
      </c>
      <c r="C666">
        <v>4103</v>
      </c>
      <c r="D666">
        <v>2</v>
      </c>
      <c r="E666">
        <v>6</v>
      </c>
      <c r="F666">
        <v>115</v>
      </c>
    </row>
    <row r="667" spans="1:6" x14ac:dyDescent="0.25">
      <c r="A667">
        <v>167</v>
      </c>
      <c r="B667" t="s">
        <v>36</v>
      </c>
      <c r="C667">
        <v>2733</v>
      </c>
      <c r="D667">
        <v>3</v>
      </c>
      <c r="E667">
        <v>2</v>
      </c>
      <c r="F667">
        <v>109</v>
      </c>
    </row>
    <row r="668" spans="1:6" x14ac:dyDescent="0.25">
      <c r="A668">
        <v>167</v>
      </c>
      <c r="B668">
        <v>3</v>
      </c>
      <c r="C668">
        <v>12631</v>
      </c>
      <c r="D668">
        <v>1</v>
      </c>
      <c r="E668">
        <v>5</v>
      </c>
      <c r="F668">
        <v>147</v>
      </c>
    </row>
    <row r="669" spans="1:6" x14ac:dyDescent="0.25">
      <c r="A669">
        <v>167</v>
      </c>
      <c r="B669">
        <v>4</v>
      </c>
      <c r="C669">
        <v>1935</v>
      </c>
      <c r="D669">
        <v>4</v>
      </c>
      <c r="E669">
        <v>1</v>
      </c>
      <c r="F669">
        <v>60</v>
      </c>
    </row>
    <row r="670" spans="1:6" x14ac:dyDescent="0.25">
      <c r="A670">
        <v>168</v>
      </c>
      <c r="B670" t="s">
        <v>35</v>
      </c>
      <c r="C670">
        <v>6037</v>
      </c>
      <c r="D670">
        <v>1</v>
      </c>
      <c r="E670">
        <v>7</v>
      </c>
      <c r="F670">
        <v>150</v>
      </c>
    </row>
    <row r="671" spans="1:6" x14ac:dyDescent="0.25">
      <c r="A671">
        <v>168</v>
      </c>
      <c r="B671" t="s">
        <v>36</v>
      </c>
      <c r="C671">
        <v>4982</v>
      </c>
      <c r="D671">
        <v>2</v>
      </c>
      <c r="E671">
        <v>3</v>
      </c>
      <c r="F671">
        <v>86</v>
      </c>
    </row>
    <row r="672" spans="1:6" x14ac:dyDescent="0.25">
      <c r="A672">
        <v>168</v>
      </c>
      <c r="B672">
        <v>3</v>
      </c>
      <c r="C672">
        <v>4241</v>
      </c>
      <c r="D672">
        <v>4</v>
      </c>
      <c r="E672">
        <v>9</v>
      </c>
      <c r="F672">
        <v>130</v>
      </c>
    </row>
    <row r="673" spans="1:6" x14ac:dyDescent="0.25">
      <c r="A673">
        <v>168</v>
      </c>
      <c r="B673">
        <v>4</v>
      </c>
      <c r="C673">
        <v>4379</v>
      </c>
      <c r="D673">
        <v>3</v>
      </c>
      <c r="E673">
        <v>5</v>
      </c>
      <c r="F673">
        <v>140</v>
      </c>
    </row>
    <row r="674" spans="1:6" x14ac:dyDescent="0.25">
      <c r="A674">
        <v>169</v>
      </c>
      <c r="B674" t="s">
        <v>35</v>
      </c>
      <c r="C674">
        <v>1923</v>
      </c>
      <c r="D674">
        <v>3</v>
      </c>
      <c r="E674">
        <v>8</v>
      </c>
      <c r="F674">
        <v>65</v>
      </c>
    </row>
    <row r="675" spans="1:6" x14ac:dyDescent="0.25">
      <c r="A675">
        <v>169</v>
      </c>
      <c r="B675" t="s">
        <v>36</v>
      </c>
      <c r="C675">
        <v>6606</v>
      </c>
      <c r="D675">
        <v>1</v>
      </c>
      <c r="E675">
        <v>4</v>
      </c>
      <c r="F675">
        <v>20</v>
      </c>
    </row>
    <row r="676" spans="1:6" x14ac:dyDescent="0.25">
      <c r="A676">
        <v>169</v>
      </c>
      <c r="B676">
        <v>3</v>
      </c>
      <c r="C676">
        <v>2811</v>
      </c>
      <c r="D676">
        <v>2</v>
      </c>
      <c r="E676">
        <v>7</v>
      </c>
      <c r="F676">
        <v>67</v>
      </c>
    </row>
    <row r="677" spans="1:6" x14ac:dyDescent="0.25">
      <c r="A677">
        <v>169</v>
      </c>
      <c r="B677">
        <v>4</v>
      </c>
      <c r="C677">
        <v>359</v>
      </c>
      <c r="D677">
        <v>4</v>
      </c>
      <c r="E677">
        <v>4</v>
      </c>
      <c r="F677">
        <v>18</v>
      </c>
    </row>
    <row r="678" spans="1:6" x14ac:dyDescent="0.25">
      <c r="A678">
        <v>170</v>
      </c>
      <c r="B678" t="s">
        <v>35</v>
      </c>
      <c r="C678">
        <v>9143</v>
      </c>
      <c r="D678">
        <v>1</v>
      </c>
      <c r="E678">
        <v>7</v>
      </c>
      <c r="F678">
        <v>136</v>
      </c>
    </row>
    <row r="679" spans="1:6" x14ac:dyDescent="0.25">
      <c r="A679">
        <v>170</v>
      </c>
      <c r="B679" t="s">
        <v>36</v>
      </c>
      <c r="C679">
        <v>2218</v>
      </c>
      <c r="D679">
        <v>4</v>
      </c>
      <c r="E679">
        <v>4</v>
      </c>
      <c r="F679">
        <v>69</v>
      </c>
    </row>
    <row r="680" spans="1:6" x14ac:dyDescent="0.25">
      <c r="A680">
        <v>170</v>
      </c>
      <c r="B680">
        <v>3</v>
      </c>
      <c r="C680">
        <v>8041</v>
      </c>
      <c r="D680">
        <v>2</v>
      </c>
      <c r="E680">
        <v>6</v>
      </c>
      <c r="F680">
        <v>126</v>
      </c>
    </row>
    <row r="681" spans="1:6" x14ac:dyDescent="0.25">
      <c r="A681">
        <v>170</v>
      </c>
      <c r="B681">
        <v>4</v>
      </c>
      <c r="C681">
        <v>2546</v>
      </c>
      <c r="D681">
        <v>3</v>
      </c>
      <c r="E681">
        <v>1</v>
      </c>
      <c r="F681">
        <v>76</v>
      </c>
    </row>
    <row r="682" spans="1:6" x14ac:dyDescent="0.25">
      <c r="A682">
        <v>171</v>
      </c>
      <c r="B682" t="s">
        <v>35</v>
      </c>
      <c r="C682">
        <v>6813</v>
      </c>
      <c r="D682">
        <v>1</v>
      </c>
      <c r="E682">
        <v>6</v>
      </c>
      <c r="F682">
        <v>115</v>
      </c>
    </row>
    <row r="683" spans="1:6" x14ac:dyDescent="0.25">
      <c r="A683">
        <v>171</v>
      </c>
      <c r="B683" t="s">
        <v>36</v>
      </c>
      <c r="C683">
        <v>6493</v>
      </c>
      <c r="D683">
        <v>2</v>
      </c>
      <c r="E683">
        <v>5</v>
      </c>
      <c r="F683">
        <v>106</v>
      </c>
    </row>
    <row r="684" spans="1:6" x14ac:dyDescent="0.25">
      <c r="A684">
        <v>171</v>
      </c>
      <c r="B684">
        <v>3</v>
      </c>
      <c r="C684">
        <v>3144</v>
      </c>
      <c r="D684">
        <v>4</v>
      </c>
      <c r="E684">
        <v>14</v>
      </c>
      <c r="F684">
        <v>107</v>
      </c>
    </row>
    <row r="685" spans="1:6" x14ac:dyDescent="0.25">
      <c r="A685">
        <v>171</v>
      </c>
      <c r="B685">
        <v>4</v>
      </c>
      <c r="C685">
        <v>6487</v>
      </c>
      <c r="D685">
        <v>3</v>
      </c>
      <c r="E685">
        <v>1</v>
      </c>
      <c r="F685">
        <v>121</v>
      </c>
    </row>
    <row r="686" spans="1:6" x14ac:dyDescent="0.25">
      <c r="A686">
        <v>172</v>
      </c>
      <c r="B686" t="s">
        <v>35</v>
      </c>
      <c r="C686">
        <v>17977</v>
      </c>
      <c r="D686">
        <v>1</v>
      </c>
      <c r="E686">
        <v>1</v>
      </c>
      <c r="F686">
        <v>60</v>
      </c>
    </row>
    <row r="687" spans="1:6" x14ac:dyDescent="0.25">
      <c r="A687">
        <v>172</v>
      </c>
      <c r="B687" t="s">
        <v>36</v>
      </c>
      <c r="C687">
        <v>2817</v>
      </c>
      <c r="D687">
        <v>2</v>
      </c>
      <c r="E687">
        <v>2</v>
      </c>
      <c r="F687">
        <v>35</v>
      </c>
    </row>
    <row r="688" spans="1:6" x14ac:dyDescent="0.25">
      <c r="A688">
        <v>172</v>
      </c>
      <c r="B688">
        <v>3</v>
      </c>
      <c r="C688">
        <v>488</v>
      </c>
      <c r="D688">
        <v>4</v>
      </c>
      <c r="E688">
        <v>4</v>
      </c>
      <c r="F688">
        <v>31</v>
      </c>
    </row>
    <row r="689" spans="1:6" x14ac:dyDescent="0.25">
      <c r="A689">
        <v>172</v>
      </c>
      <c r="B689">
        <v>4</v>
      </c>
      <c r="C689">
        <v>1302</v>
      </c>
      <c r="D689">
        <v>3</v>
      </c>
      <c r="E689">
        <v>1</v>
      </c>
      <c r="F689">
        <v>37</v>
      </c>
    </row>
    <row r="690" spans="1:6" x14ac:dyDescent="0.25">
      <c r="A690">
        <v>173</v>
      </c>
      <c r="B690" t="s">
        <v>35</v>
      </c>
      <c r="C690">
        <v>6294</v>
      </c>
      <c r="D690">
        <v>1</v>
      </c>
      <c r="E690">
        <v>1</v>
      </c>
      <c r="F690">
        <v>187</v>
      </c>
    </row>
    <row r="691" spans="1:6" x14ac:dyDescent="0.25">
      <c r="A691">
        <v>173</v>
      </c>
      <c r="B691" t="s">
        <v>36</v>
      </c>
      <c r="C691">
        <v>6138</v>
      </c>
      <c r="D691">
        <v>2</v>
      </c>
      <c r="E691">
        <v>5</v>
      </c>
      <c r="F691">
        <v>168</v>
      </c>
    </row>
    <row r="692" spans="1:6" x14ac:dyDescent="0.25">
      <c r="A692">
        <v>173</v>
      </c>
      <c r="B692">
        <v>3</v>
      </c>
      <c r="C692">
        <v>3111</v>
      </c>
      <c r="D692">
        <v>4</v>
      </c>
      <c r="E692">
        <v>6</v>
      </c>
      <c r="F692">
        <v>156</v>
      </c>
    </row>
    <row r="693" spans="1:6" x14ac:dyDescent="0.25">
      <c r="A693">
        <v>173</v>
      </c>
      <c r="B693">
        <v>4</v>
      </c>
      <c r="C693">
        <v>5339</v>
      </c>
      <c r="D693">
        <v>3</v>
      </c>
      <c r="E693">
        <v>4</v>
      </c>
      <c r="F693">
        <v>181</v>
      </c>
    </row>
    <row r="694" spans="1:6" x14ac:dyDescent="0.25">
      <c r="A694">
        <v>174</v>
      </c>
      <c r="B694" t="s">
        <v>35</v>
      </c>
      <c r="C694">
        <v>7413</v>
      </c>
      <c r="D694">
        <v>2</v>
      </c>
      <c r="E694">
        <v>2</v>
      </c>
      <c r="F694">
        <v>155</v>
      </c>
    </row>
    <row r="695" spans="1:6" x14ac:dyDescent="0.25">
      <c r="A695">
        <v>174</v>
      </c>
      <c r="B695" t="s">
        <v>36</v>
      </c>
      <c r="C695">
        <v>3593</v>
      </c>
      <c r="D695">
        <v>3</v>
      </c>
      <c r="E695">
        <v>2</v>
      </c>
      <c r="F695">
        <v>17</v>
      </c>
    </row>
    <row r="696" spans="1:6" x14ac:dyDescent="0.25">
      <c r="A696">
        <v>174</v>
      </c>
      <c r="B696">
        <v>3</v>
      </c>
      <c r="C696">
        <v>8484</v>
      </c>
      <c r="D696">
        <v>1</v>
      </c>
      <c r="E696">
        <v>4</v>
      </c>
      <c r="F696">
        <v>160</v>
      </c>
    </row>
    <row r="697" spans="1:6" x14ac:dyDescent="0.25">
      <c r="A697">
        <v>174</v>
      </c>
      <c r="B697">
        <v>4</v>
      </c>
      <c r="C697">
        <v>631</v>
      </c>
      <c r="D697">
        <v>4</v>
      </c>
      <c r="E697">
        <v>0</v>
      </c>
      <c r="F697">
        <v>18</v>
      </c>
    </row>
    <row r="698" spans="1:6" x14ac:dyDescent="0.25">
      <c r="A698">
        <v>175</v>
      </c>
      <c r="B698" t="s">
        <v>35</v>
      </c>
      <c r="C698">
        <v>605</v>
      </c>
      <c r="D698">
        <v>2</v>
      </c>
      <c r="E698">
        <v>2</v>
      </c>
      <c r="F698">
        <v>22</v>
      </c>
    </row>
    <row r="699" spans="1:6" x14ac:dyDescent="0.25">
      <c r="A699">
        <v>175</v>
      </c>
      <c r="B699" t="s">
        <v>36</v>
      </c>
      <c r="C699">
        <v>873</v>
      </c>
      <c r="D699">
        <v>1</v>
      </c>
      <c r="E699">
        <v>0</v>
      </c>
      <c r="F699">
        <v>11</v>
      </c>
    </row>
    <row r="700" spans="1:6" x14ac:dyDescent="0.25">
      <c r="A700">
        <v>175</v>
      </c>
      <c r="B700">
        <v>3</v>
      </c>
      <c r="C700">
        <v>398</v>
      </c>
      <c r="D700">
        <v>3</v>
      </c>
      <c r="E700">
        <v>2</v>
      </c>
      <c r="F700">
        <v>20</v>
      </c>
    </row>
    <row r="701" spans="1:6" x14ac:dyDescent="0.25">
      <c r="A701">
        <v>175</v>
      </c>
      <c r="B701">
        <v>4</v>
      </c>
      <c r="C701">
        <v>122</v>
      </c>
      <c r="D701">
        <v>4</v>
      </c>
      <c r="E701">
        <v>0</v>
      </c>
      <c r="F701">
        <v>10</v>
      </c>
    </row>
    <row r="702" spans="1:6" x14ac:dyDescent="0.25">
      <c r="A702">
        <v>176</v>
      </c>
      <c r="B702" t="s">
        <v>35</v>
      </c>
      <c r="C702">
        <v>6121</v>
      </c>
      <c r="D702">
        <v>2</v>
      </c>
      <c r="E702">
        <v>7</v>
      </c>
      <c r="F702">
        <v>136</v>
      </c>
    </row>
    <row r="703" spans="1:6" x14ac:dyDescent="0.25">
      <c r="A703">
        <v>176</v>
      </c>
      <c r="B703" t="s">
        <v>36</v>
      </c>
      <c r="C703">
        <v>3292</v>
      </c>
      <c r="D703">
        <v>3</v>
      </c>
      <c r="E703">
        <v>12</v>
      </c>
      <c r="F703">
        <v>171</v>
      </c>
    </row>
    <row r="704" spans="1:6" x14ac:dyDescent="0.25">
      <c r="A704">
        <v>176</v>
      </c>
      <c r="B704">
        <v>3</v>
      </c>
      <c r="C704">
        <v>8877</v>
      </c>
      <c r="D704">
        <v>1</v>
      </c>
      <c r="E704">
        <v>9</v>
      </c>
      <c r="F704">
        <v>140</v>
      </c>
    </row>
    <row r="705" spans="1:6" x14ac:dyDescent="0.25">
      <c r="A705">
        <v>176</v>
      </c>
      <c r="B705">
        <v>4</v>
      </c>
      <c r="C705">
        <v>2585</v>
      </c>
      <c r="D705">
        <v>4</v>
      </c>
      <c r="E705">
        <v>12</v>
      </c>
      <c r="F705">
        <v>167</v>
      </c>
    </row>
    <row r="706" spans="1:6" x14ac:dyDescent="0.25">
      <c r="A706">
        <v>177</v>
      </c>
      <c r="B706" t="s">
        <v>35</v>
      </c>
      <c r="C706">
        <v>1265</v>
      </c>
      <c r="D706">
        <v>3</v>
      </c>
      <c r="E706">
        <v>2</v>
      </c>
      <c r="F706">
        <v>15</v>
      </c>
    </row>
    <row r="707" spans="1:6" x14ac:dyDescent="0.25">
      <c r="A707">
        <v>177</v>
      </c>
      <c r="B707" t="s">
        <v>36</v>
      </c>
      <c r="C707">
        <v>6982</v>
      </c>
      <c r="D707">
        <v>1</v>
      </c>
      <c r="E707">
        <v>1</v>
      </c>
      <c r="F707">
        <v>15</v>
      </c>
    </row>
    <row r="708" spans="1:6" x14ac:dyDescent="0.25">
      <c r="A708">
        <v>177</v>
      </c>
      <c r="B708">
        <v>3</v>
      </c>
      <c r="C708">
        <v>1294</v>
      </c>
      <c r="D708">
        <v>2</v>
      </c>
      <c r="E708">
        <v>2</v>
      </c>
      <c r="F708">
        <v>15</v>
      </c>
    </row>
    <row r="709" spans="1:6" x14ac:dyDescent="0.25">
      <c r="A709">
        <v>177</v>
      </c>
      <c r="B709">
        <v>4</v>
      </c>
      <c r="C709">
        <v>468</v>
      </c>
      <c r="D709">
        <v>4</v>
      </c>
      <c r="E709">
        <v>1</v>
      </c>
      <c r="F709">
        <v>13</v>
      </c>
    </row>
    <row r="710" spans="1:6" x14ac:dyDescent="0.25">
      <c r="A710">
        <v>178</v>
      </c>
      <c r="B710" t="s">
        <v>35</v>
      </c>
      <c r="C710">
        <v>7081</v>
      </c>
      <c r="D710">
        <v>1</v>
      </c>
      <c r="E710">
        <v>3</v>
      </c>
      <c r="F710">
        <v>143</v>
      </c>
    </row>
    <row r="711" spans="1:6" x14ac:dyDescent="0.25">
      <c r="A711">
        <v>178</v>
      </c>
      <c r="B711" t="s">
        <v>36</v>
      </c>
      <c r="C711">
        <v>5446</v>
      </c>
      <c r="D711">
        <v>2</v>
      </c>
      <c r="E711">
        <v>4</v>
      </c>
      <c r="F711">
        <v>130</v>
      </c>
    </row>
    <row r="712" spans="1:6" x14ac:dyDescent="0.25">
      <c r="A712">
        <v>178</v>
      </c>
      <c r="B712">
        <v>3</v>
      </c>
      <c r="C712">
        <v>4432</v>
      </c>
      <c r="D712">
        <v>4</v>
      </c>
      <c r="E712">
        <v>5</v>
      </c>
      <c r="F712">
        <v>120</v>
      </c>
    </row>
    <row r="713" spans="1:6" x14ac:dyDescent="0.25">
      <c r="A713">
        <v>178</v>
      </c>
      <c r="B713">
        <v>4</v>
      </c>
      <c r="C713">
        <v>4971</v>
      </c>
      <c r="D713">
        <v>3</v>
      </c>
      <c r="E713">
        <v>4</v>
      </c>
      <c r="F713">
        <v>120</v>
      </c>
    </row>
    <row r="714" spans="1:6" x14ac:dyDescent="0.25">
      <c r="A714">
        <v>179</v>
      </c>
      <c r="B714" t="s">
        <v>35</v>
      </c>
      <c r="C714">
        <v>6071</v>
      </c>
      <c r="D714">
        <v>1</v>
      </c>
      <c r="E714">
        <v>2</v>
      </c>
      <c r="F714">
        <v>97</v>
      </c>
    </row>
    <row r="715" spans="1:6" x14ac:dyDescent="0.25">
      <c r="A715">
        <v>179</v>
      </c>
      <c r="B715" t="s">
        <v>36</v>
      </c>
      <c r="C715">
        <v>1265</v>
      </c>
      <c r="D715">
        <v>3</v>
      </c>
      <c r="E715">
        <v>0</v>
      </c>
      <c r="F715">
        <v>18</v>
      </c>
    </row>
    <row r="716" spans="1:6" x14ac:dyDescent="0.25">
      <c r="A716">
        <v>179</v>
      </c>
      <c r="B716">
        <v>3</v>
      </c>
      <c r="C716">
        <v>4492</v>
      </c>
      <c r="D716">
        <v>2</v>
      </c>
      <c r="E716">
        <v>2</v>
      </c>
      <c r="F716">
        <v>91</v>
      </c>
    </row>
    <row r="717" spans="1:6" x14ac:dyDescent="0.25">
      <c r="A717">
        <v>179</v>
      </c>
      <c r="B717">
        <v>4</v>
      </c>
      <c r="C717">
        <v>617</v>
      </c>
      <c r="D717">
        <v>4</v>
      </c>
      <c r="E717">
        <v>0</v>
      </c>
      <c r="F717">
        <v>15</v>
      </c>
    </row>
    <row r="718" spans="1:6" x14ac:dyDescent="0.25">
      <c r="A718">
        <v>180</v>
      </c>
      <c r="B718" t="s">
        <v>35</v>
      </c>
      <c r="C718">
        <v>7856</v>
      </c>
      <c r="D718">
        <v>1</v>
      </c>
      <c r="E718">
        <v>2</v>
      </c>
      <c r="F718">
        <v>154</v>
      </c>
    </row>
    <row r="719" spans="1:6" x14ac:dyDescent="0.25">
      <c r="A719">
        <v>180</v>
      </c>
      <c r="B719" t="s">
        <v>36</v>
      </c>
      <c r="C719">
        <v>2178</v>
      </c>
      <c r="D719">
        <v>4</v>
      </c>
      <c r="E719">
        <v>4</v>
      </c>
      <c r="F719">
        <v>99</v>
      </c>
    </row>
    <row r="720" spans="1:6" x14ac:dyDescent="0.25">
      <c r="A720">
        <v>180</v>
      </c>
      <c r="B720">
        <v>3</v>
      </c>
      <c r="C720">
        <v>3334</v>
      </c>
      <c r="D720">
        <v>3</v>
      </c>
      <c r="E720">
        <v>20</v>
      </c>
      <c r="F720">
        <v>66</v>
      </c>
    </row>
    <row r="721" spans="1:6" x14ac:dyDescent="0.25">
      <c r="A721">
        <v>180</v>
      </c>
      <c r="B721">
        <v>4</v>
      </c>
      <c r="C721">
        <v>5768</v>
      </c>
      <c r="D721">
        <v>2</v>
      </c>
      <c r="E721">
        <v>3</v>
      </c>
      <c r="F721">
        <v>99</v>
      </c>
    </row>
    <row r="722" spans="1:6" x14ac:dyDescent="0.25">
      <c r="A722">
        <v>181</v>
      </c>
      <c r="B722" t="s">
        <v>35</v>
      </c>
      <c r="C722">
        <v>5539</v>
      </c>
      <c r="D722">
        <v>2</v>
      </c>
      <c r="E722">
        <v>5</v>
      </c>
      <c r="F722">
        <v>138</v>
      </c>
    </row>
    <row r="723" spans="1:6" x14ac:dyDescent="0.25">
      <c r="A723">
        <v>181</v>
      </c>
      <c r="B723" t="s">
        <v>36</v>
      </c>
      <c r="C723">
        <v>1479</v>
      </c>
      <c r="D723">
        <v>3</v>
      </c>
      <c r="E723">
        <v>8</v>
      </c>
      <c r="F723">
        <v>51</v>
      </c>
    </row>
    <row r="724" spans="1:6" x14ac:dyDescent="0.25">
      <c r="A724">
        <v>181</v>
      </c>
      <c r="B724">
        <v>3</v>
      </c>
      <c r="C724">
        <v>10388</v>
      </c>
      <c r="D724">
        <v>1</v>
      </c>
      <c r="E724">
        <v>6</v>
      </c>
      <c r="F724">
        <v>149</v>
      </c>
    </row>
    <row r="725" spans="1:6" x14ac:dyDescent="0.25">
      <c r="A725">
        <v>181</v>
      </c>
      <c r="B725">
        <v>4</v>
      </c>
      <c r="C725">
        <v>1162</v>
      </c>
      <c r="D725">
        <v>4</v>
      </c>
      <c r="E725">
        <v>11</v>
      </c>
      <c r="F725">
        <v>41</v>
      </c>
    </row>
    <row r="726" spans="1:6" x14ac:dyDescent="0.25">
      <c r="A726">
        <v>182</v>
      </c>
      <c r="B726" t="s">
        <v>35</v>
      </c>
      <c r="C726">
        <v>9440</v>
      </c>
      <c r="D726">
        <v>1</v>
      </c>
      <c r="E726">
        <v>37</v>
      </c>
      <c r="F726">
        <v>34</v>
      </c>
    </row>
    <row r="727" spans="1:6" x14ac:dyDescent="0.25">
      <c r="A727">
        <v>182</v>
      </c>
      <c r="B727" t="s">
        <v>36</v>
      </c>
      <c r="C727">
        <v>971</v>
      </c>
      <c r="D727">
        <v>3</v>
      </c>
      <c r="E727">
        <v>37</v>
      </c>
      <c r="F727">
        <v>14</v>
      </c>
    </row>
    <row r="728" spans="1:6" x14ac:dyDescent="0.25">
      <c r="A728">
        <v>182</v>
      </c>
      <c r="B728">
        <v>3</v>
      </c>
      <c r="C728">
        <v>140</v>
      </c>
      <c r="D728">
        <v>4</v>
      </c>
      <c r="E728">
        <v>1</v>
      </c>
      <c r="F728">
        <v>6</v>
      </c>
    </row>
    <row r="729" spans="1:6" x14ac:dyDescent="0.25">
      <c r="A729">
        <v>182</v>
      </c>
      <c r="B729">
        <v>4</v>
      </c>
      <c r="C729">
        <v>2381</v>
      </c>
      <c r="D729">
        <v>2</v>
      </c>
      <c r="E729">
        <v>1</v>
      </c>
      <c r="F729">
        <v>6</v>
      </c>
    </row>
    <row r="730" spans="1:6" x14ac:dyDescent="0.25">
      <c r="A730">
        <v>183</v>
      </c>
      <c r="B730" t="s">
        <v>35</v>
      </c>
      <c r="C730">
        <v>8008</v>
      </c>
      <c r="D730">
        <v>2</v>
      </c>
      <c r="E730">
        <v>2</v>
      </c>
      <c r="F730">
        <v>114</v>
      </c>
    </row>
    <row r="731" spans="1:6" x14ac:dyDescent="0.25">
      <c r="A731">
        <v>183</v>
      </c>
      <c r="B731" t="s">
        <v>36</v>
      </c>
      <c r="C731">
        <v>2396</v>
      </c>
      <c r="D731">
        <v>3</v>
      </c>
      <c r="E731">
        <v>3</v>
      </c>
      <c r="F731">
        <v>58</v>
      </c>
    </row>
    <row r="732" spans="1:6" x14ac:dyDescent="0.25">
      <c r="A732">
        <v>183</v>
      </c>
      <c r="B732">
        <v>3</v>
      </c>
      <c r="C732">
        <v>2016</v>
      </c>
      <c r="D732">
        <v>4</v>
      </c>
      <c r="E732">
        <v>1</v>
      </c>
      <c r="F732">
        <v>54</v>
      </c>
    </row>
    <row r="733" spans="1:6" x14ac:dyDescent="0.25">
      <c r="A733">
        <v>183</v>
      </c>
      <c r="B733">
        <v>4</v>
      </c>
      <c r="C733">
        <v>8671</v>
      </c>
      <c r="D733">
        <v>1</v>
      </c>
      <c r="E733">
        <v>7</v>
      </c>
      <c r="F733">
        <v>117</v>
      </c>
    </row>
    <row r="734" spans="1:6" x14ac:dyDescent="0.25">
      <c r="A734">
        <v>184</v>
      </c>
      <c r="B734" t="s">
        <v>35</v>
      </c>
      <c r="C734">
        <v>5353</v>
      </c>
      <c r="D734">
        <v>2</v>
      </c>
      <c r="E734">
        <v>7</v>
      </c>
      <c r="F734">
        <v>142</v>
      </c>
    </row>
    <row r="735" spans="1:6" x14ac:dyDescent="0.25">
      <c r="A735">
        <v>184</v>
      </c>
      <c r="B735" t="s">
        <v>36</v>
      </c>
      <c r="C735">
        <v>5095</v>
      </c>
      <c r="D735">
        <v>3</v>
      </c>
      <c r="E735">
        <v>8</v>
      </c>
      <c r="F735">
        <v>113</v>
      </c>
    </row>
    <row r="736" spans="1:6" x14ac:dyDescent="0.25">
      <c r="A736">
        <v>184</v>
      </c>
      <c r="B736">
        <v>3</v>
      </c>
      <c r="C736">
        <v>6495</v>
      </c>
      <c r="D736">
        <v>1</v>
      </c>
      <c r="E736">
        <v>9</v>
      </c>
      <c r="F736">
        <v>126</v>
      </c>
    </row>
    <row r="737" spans="1:6" x14ac:dyDescent="0.25">
      <c r="A737">
        <v>184</v>
      </c>
      <c r="B737">
        <v>4</v>
      </c>
      <c r="C737">
        <v>3595</v>
      </c>
      <c r="D737">
        <v>4</v>
      </c>
      <c r="E737">
        <v>9</v>
      </c>
      <c r="F737">
        <v>90</v>
      </c>
    </row>
    <row r="738" spans="1:6" x14ac:dyDescent="0.25">
      <c r="A738">
        <v>185</v>
      </c>
      <c r="B738" t="s">
        <v>35</v>
      </c>
      <c r="C738">
        <v>8751</v>
      </c>
      <c r="D738">
        <v>1</v>
      </c>
      <c r="E738">
        <v>11</v>
      </c>
      <c r="F738">
        <v>115</v>
      </c>
    </row>
    <row r="739" spans="1:6" x14ac:dyDescent="0.25">
      <c r="A739">
        <v>185</v>
      </c>
      <c r="B739" t="s">
        <v>36</v>
      </c>
      <c r="C739">
        <v>1700</v>
      </c>
      <c r="D739">
        <v>4</v>
      </c>
      <c r="E739">
        <v>0</v>
      </c>
      <c r="F739">
        <v>179</v>
      </c>
    </row>
    <row r="740" spans="1:6" x14ac:dyDescent="0.25">
      <c r="A740">
        <v>185</v>
      </c>
      <c r="B740">
        <v>3</v>
      </c>
      <c r="C740">
        <v>3892</v>
      </c>
      <c r="D740">
        <v>2</v>
      </c>
      <c r="E740">
        <v>2</v>
      </c>
      <c r="F740">
        <v>184</v>
      </c>
    </row>
    <row r="741" spans="1:6" x14ac:dyDescent="0.25">
      <c r="A741">
        <v>185</v>
      </c>
      <c r="B741">
        <v>4</v>
      </c>
      <c r="C741">
        <v>3852</v>
      </c>
      <c r="D741">
        <v>3</v>
      </c>
      <c r="E741">
        <v>10</v>
      </c>
      <c r="F741">
        <v>69</v>
      </c>
    </row>
    <row r="742" spans="1:6" x14ac:dyDescent="0.25">
      <c r="A742">
        <v>186</v>
      </c>
      <c r="B742" t="s">
        <v>35</v>
      </c>
      <c r="C742">
        <v>2454</v>
      </c>
      <c r="D742">
        <v>4</v>
      </c>
      <c r="E742">
        <v>35</v>
      </c>
      <c r="F742">
        <v>122</v>
      </c>
    </row>
    <row r="743" spans="1:6" x14ac:dyDescent="0.25">
      <c r="A743">
        <v>186</v>
      </c>
      <c r="B743" t="s">
        <v>36</v>
      </c>
      <c r="C743">
        <v>3032</v>
      </c>
      <c r="D743">
        <v>3</v>
      </c>
      <c r="E743">
        <v>19</v>
      </c>
      <c r="F743">
        <v>123</v>
      </c>
    </row>
    <row r="744" spans="1:6" x14ac:dyDescent="0.25">
      <c r="A744">
        <v>186</v>
      </c>
      <c r="B744">
        <v>3</v>
      </c>
      <c r="C744">
        <v>4009</v>
      </c>
      <c r="D744">
        <v>1</v>
      </c>
      <c r="E744">
        <v>31</v>
      </c>
      <c r="F744">
        <v>109</v>
      </c>
    </row>
    <row r="745" spans="1:6" x14ac:dyDescent="0.25">
      <c r="A745">
        <v>186</v>
      </c>
      <c r="B745">
        <v>4</v>
      </c>
      <c r="C745">
        <v>3116</v>
      </c>
      <c r="D745">
        <v>2</v>
      </c>
      <c r="E745">
        <v>29</v>
      </c>
      <c r="F745">
        <v>98</v>
      </c>
    </row>
    <row r="746" spans="1:6" x14ac:dyDescent="0.25">
      <c r="A746">
        <v>187</v>
      </c>
      <c r="B746" t="s">
        <v>35</v>
      </c>
      <c r="C746">
        <v>4068</v>
      </c>
      <c r="D746">
        <v>2</v>
      </c>
      <c r="E746">
        <v>7</v>
      </c>
      <c r="F746">
        <v>143</v>
      </c>
    </row>
    <row r="747" spans="1:6" x14ac:dyDescent="0.25">
      <c r="A747">
        <v>187</v>
      </c>
      <c r="B747" t="s">
        <v>36</v>
      </c>
      <c r="C747">
        <v>115</v>
      </c>
      <c r="D747">
        <v>4</v>
      </c>
      <c r="E747">
        <v>1</v>
      </c>
      <c r="F747">
        <v>7</v>
      </c>
    </row>
    <row r="748" spans="1:6" x14ac:dyDescent="0.25">
      <c r="A748">
        <v>187</v>
      </c>
      <c r="B748">
        <v>3</v>
      </c>
      <c r="C748">
        <v>6327</v>
      </c>
      <c r="D748">
        <v>1</v>
      </c>
      <c r="E748">
        <v>7</v>
      </c>
      <c r="F748">
        <v>139</v>
      </c>
    </row>
    <row r="749" spans="1:6" x14ac:dyDescent="0.25">
      <c r="A749">
        <v>187</v>
      </c>
      <c r="B749">
        <v>4</v>
      </c>
      <c r="C749">
        <v>2354</v>
      </c>
      <c r="D749">
        <v>3</v>
      </c>
      <c r="E749">
        <v>1</v>
      </c>
      <c r="F749">
        <v>5</v>
      </c>
    </row>
    <row r="750" spans="1:6" x14ac:dyDescent="0.25">
      <c r="A750">
        <v>188</v>
      </c>
      <c r="B750" t="s">
        <v>35</v>
      </c>
      <c r="C750">
        <v>6119</v>
      </c>
      <c r="D750">
        <v>1</v>
      </c>
      <c r="E750">
        <v>8</v>
      </c>
      <c r="F750">
        <v>113</v>
      </c>
    </row>
    <row r="751" spans="1:6" x14ac:dyDescent="0.25">
      <c r="A751">
        <v>188</v>
      </c>
      <c r="B751" t="s">
        <v>36</v>
      </c>
      <c r="C751">
        <v>2230</v>
      </c>
      <c r="D751">
        <v>4</v>
      </c>
      <c r="E751">
        <v>10</v>
      </c>
      <c r="F751">
        <v>71</v>
      </c>
    </row>
    <row r="752" spans="1:6" x14ac:dyDescent="0.25">
      <c r="A752">
        <v>188</v>
      </c>
      <c r="B752">
        <v>3</v>
      </c>
      <c r="C752">
        <v>4309</v>
      </c>
      <c r="D752">
        <v>3</v>
      </c>
      <c r="E752">
        <v>4</v>
      </c>
      <c r="F752">
        <v>71</v>
      </c>
    </row>
    <row r="753" spans="1:6" x14ac:dyDescent="0.25">
      <c r="A753">
        <v>188</v>
      </c>
      <c r="B753">
        <v>4</v>
      </c>
      <c r="C753">
        <v>4540</v>
      </c>
      <c r="D753">
        <v>2</v>
      </c>
      <c r="E753">
        <v>16</v>
      </c>
      <c r="F753">
        <v>119</v>
      </c>
    </row>
    <row r="754" spans="1:6" x14ac:dyDescent="0.25">
      <c r="A754">
        <v>189</v>
      </c>
      <c r="B754" t="s">
        <v>35</v>
      </c>
      <c r="C754">
        <v>5574</v>
      </c>
      <c r="D754">
        <v>2</v>
      </c>
      <c r="E754">
        <v>1</v>
      </c>
      <c r="F754">
        <v>151</v>
      </c>
    </row>
    <row r="755" spans="1:6" x14ac:dyDescent="0.25">
      <c r="A755">
        <v>189</v>
      </c>
      <c r="B755" t="s">
        <v>36</v>
      </c>
      <c r="C755">
        <v>4701</v>
      </c>
      <c r="D755">
        <v>3</v>
      </c>
      <c r="E755">
        <v>3</v>
      </c>
      <c r="F755">
        <v>123</v>
      </c>
    </row>
    <row r="756" spans="1:6" x14ac:dyDescent="0.25">
      <c r="A756">
        <v>189</v>
      </c>
      <c r="B756">
        <v>3</v>
      </c>
      <c r="C756">
        <v>7328</v>
      </c>
      <c r="D756">
        <v>1</v>
      </c>
      <c r="E756">
        <v>2</v>
      </c>
      <c r="F756">
        <v>155</v>
      </c>
    </row>
    <row r="757" spans="1:6" x14ac:dyDescent="0.25">
      <c r="A757">
        <v>189</v>
      </c>
      <c r="B757">
        <v>4</v>
      </c>
      <c r="C757">
        <v>4295</v>
      </c>
      <c r="D757">
        <v>4</v>
      </c>
      <c r="E757">
        <v>6</v>
      </c>
      <c r="F757">
        <v>119</v>
      </c>
    </row>
    <row r="758" spans="1:6" x14ac:dyDescent="0.25">
      <c r="A758">
        <v>190</v>
      </c>
      <c r="B758" t="s">
        <v>35</v>
      </c>
      <c r="C758">
        <v>6042</v>
      </c>
      <c r="D758">
        <v>2</v>
      </c>
      <c r="E758">
        <v>7</v>
      </c>
      <c r="F758">
        <v>136</v>
      </c>
    </row>
    <row r="759" spans="1:6" x14ac:dyDescent="0.25">
      <c r="A759">
        <v>190</v>
      </c>
      <c r="B759" t="s">
        <v>36</v>
      </c>
      <c r="C759">
        <v>6351</v>
      </c>
      <c r="D759">
        <v>1</v>
      </c>
      <c r="E759">
        <v>12</v>
      </c>
      <c r="F759">
        <v>134</v>
      </c>
    </row>
    <row r="760" spans="1:6" x14ac:dyDescent="0.25">
      <c r="A760">
        <v>190</v>
      </c>
      <c r="B760">
        <v>3</v>
      </c>
      <c r="C760">
        <v>3645</v>
      </c>
      <c r="D760">
        <v>4</v>
      </c>
      <c r="E760">
        <v>13</v>
      </c>
      <c r="F760">
        <v>118</v>
      </c>
    </row>
    <row r="761" spans="1:6" x14ac:dyDescent="0.25">
      <c r="A761">
        <v>190</v>
      </c>
      <c r="B761">
        <v>4</v>
      </c>
      <c r="C761">
        <v>5178</v>
      </c>
      <c r="D761">
        <v>3</v>
      </c>
      <c r="E761">
        <v>10</v>
      </c>
      <c r="F761">
        <v>134</v>
      </c>
    </row>
    <row r="762" spans="1:6" x14ac:dyDescent="0.25">
      <c r="A762">
        <v>191</v>
      </c>
      <c r="B762" t="s">
        <v>35</v>
      </c>
      <c r="C762">
        <v>6509</v>
      </c>
      <c r="D762">
        <v>1</v>
      </c>
      <c r="E762">
        <v>2</v>
      </c>
      <c r="F762">
        <v>145</v>
      </c>
    </row>
    <row r="763" spans="1:6" x14ac:dyDescent="0.25">
      <c r="A763">
        <v>191</v>
      </c>
      <c r="B763" t="s">
        <v>36</v>
      </c>
      <c r="C763">
        <v>4462</v>
      </c>
      <c r="D763">
        <v>3</v>
      </c>
      <c r="E763">
        <v>4</v>
      </c>
      <c r="F763">
        <v>95</v>
      </c>
    </row>
    <row r="764" spans="1:6" x14ac:dyDescent="0.25">
      <c r="A764">
        <v>191</v>
      </c>
      <c r="B764">
        <v>3</v>
      </c>
      <c r="C764">
        <v>6371</v>
      </c>
      <c r="D764">
        <v>2</v>
      </c>
      <c r="E764">
        <v>2</v>
      </c>
      <c r="F764">
        <v>129</v>
      </c>
    </row>
    <row r="765" spans="1:6" x14ac:dyDescent="0.25">
      <c r="A765">
        <v>191</v>
      </c>
      <c r="B765">
        <v>4</v>
      </c>
      <c r="C765">
        <v>3768</v>
      </c>
      <c r="D765">
        <v>4</v>
      </c>
      <c r="E765">
        <v>4</v>
      </c>
      <c r="F765">
        <v>73</v>
      </c>
    </row>
    <row r="766" spans="1:6" x14ac:dyDescent="0.25">
      <c r="A766">
        <v>192</v>
      </c>
      <c r="B766" t="s">
        <v>35</v>
      </c>
      <c r="C766">
        <v>10543</v>
      </c>
      <c r="D766">
        <v>1</v>
      </c>
      <c r="E766">
        <v>15</v>
      </c>
      <c r="F766">
        <v>91</v>
      </c>
    </row>
    <row r="767" spans="1:6" x14ac:dyDescent="0.25">
      <c r="A767">
        <v>192</v>
      </c>
      <c r="B767" t="s">
        <v>36</v>
      </c>
      <c r="C767">
        <v>3970</v>
      </c>
      <c r="D767">
        <v>2</v>
      </c>
      <c r="E767">
        <v>23</v>
      </c>
      <c r="F767">
        <v>83</v>
      </c>
    </row>
    <row r="768" spans="1:6" x14ac:dyDescent="0.25">
      <c r="A768">
        <v>192</v>
      </c>
      <c r="B768">
        <v>3</v>
      </c>
      <c r="C768">
        <v>2028</v>
      </c>
      <c r="D768">
        <v>4</v>
      </c>
      <c r="E768">
        <v>22</v>
      </c>
      <c r="F768">
        <v>79</v>
      </c>
    </row>
    <row r="769" spans="1:6" x14ac:dyDescent="0.25">
      <c r="A769">
        <v>192</v>
      </c>
      <c r="B769">
        <v>4</v>
      </c>
      <c r="C769">
        <v>3007</v>
      </c>
      <c r="D769">
        <v>3</v>
      </c>
      <c r="E769">
        <v>22</v>
      </c>
      <c r="F769">
        <v>84</v>
      </c>
    </row>
    <row r="770" spans="1:6" x14ac:dyDescent="0.25">
      <c r="A770">
        <v>193</v>
      </c>
      <c r="B770" t="s">
        <v>35</v>
      </c>
      <c r="C770">
        <v>9413</v>
      </c>
      <c r="D770">
        <v>1</v>
      </c>
      <c r="E770">
        <v>13</v>
      </c>
      <c r="F770">
        <v>120</v>
      </c>
    </row>
    <row r="771" spans="1:6" x14ac:dyDescent="0.25">
      <c r="A771">
        <v>193</v>
      </c>
      <c r="B771" t="s">
        <v>36</v>
      </c>
      <c r="C771">
        <v>1986</v>
      </c>
      <c r="D771">
        <v>4</v>
      </c>
      <c r="E771">
        <v>9</v>
      </c>
      <c r="F771">
        <v>52</v>
      </c>
    </row>
    <row r="772" spans="1:6" x14ac:dyDescent="0.25">
      <c r="A772">
        <v>193</v>
      </c>
      <c r="B772">
        <v>3</v>
      </c>
      <c r="C772">
        <v>5946</v>
      </c>
      <c r="D772">
        <v>2</v>
      </c>
      <c r="E772">
        <v>9</v>
      </c>
      <c r="F772">
        <v>95</v>
      </c>
    </row>
    <row r="773" spans="1:6" x14ac:dyDescent="0.25">
      <c r="A773">
        <v>193</v>
      </c>
      <c r="B773">
        <v>4</v>
      </c>
      <c r="C773">
        <v>4062</v>
      </c>
      <c r="D773">
        <v>3</v>
      </c>
      <c r="E773">
        <v>6</v>
      </c>
      <c r="F773">
        <v>77</v>
      </c>
    </row>
    <row r="774" spans="1:6" x14ac:dyDescent="0.25">
      <c r="A774">
        <v>194</v>
      </c>
      <c r="B774" t="s">
        <v>35</v>
      </c>
      <c r="C774">
        <v>8188</v>
      </c>
      <c r="D774">
        <v>1</v>
      </c>
      <c r="E774">
        <v>3</v>
      </c>
      <c r="F774">
        <v>159</v>
      </c>
    </row>
    <row r="775" spans="1:6" x14ac:dyDescent="0.25">
      <c r="A775">
        <v>194</v>
      </c>
      <c r="B775" t="s">
        <v>36</v>
      </c>
      <c r="C775">
        <v>3430</v>
      </c>
      <c r="D775">
        <v>4</v>
      </c>
      <c r="E775">
        <v>2</v>
      </c>
      <c r="F775">
        <v>303</v>
      </c>
    </row>
    <row r="776" spans="1:6" x14ac:dyDescent="0.25">
      <c r="A776">
        <v>194</v>
      </c>
      <c r="B776">
        <v>3</v>
      </c>
      <c r="C776">
        <v>4140</v>
      </c>
      <c r="D776">
        <v>2</v>
      </c>
      <c r="E776">
        <v>0</v>
      </c>
      <c r="F776">
        <v>271</v>
      </c>
    </row>
    <row r="777" spans="1:6" x14ac:dyDescent="0.25">
      <c r="A777">
        <v>194</v>
      </c>
      <c r="B777">
        <v>4</v>
      </c>
      <c r="C777">
        <v>4044</v>
      </c>
      <c r="D777">
        <v>3</v>
      </c>
      <c r="E777">
        <v>0</v>
      </c>
      <c r="F777">
        <v>253</v>
      </c>
    </row>
    <row r="778" spans="1:6" x14ac:dyDescent="0.25">
      <c r="A778">
        <v>195</v>
      </c>
      <c r="B778" t="s">
        <v>35</v>
      </c>
      <c r="C778">
        <v>4780</v>
      </c>
      <c r="D778">
        <v>3</v>
      </c>
      <c r="E778">
        <v>12</v>
      </c>
      <c r="F778">
        <v>121</v>
      </c>
    </row>
    <row r="779" spans="1:6" x14ac:dyDescent="0.25">
      <c r="A779">
        <v>195</v>
      </c>
      <c r="B779" t="s">
        <v>36</v>
      </c>
      <c r="C779">
        <v>3479</v>
      </c>
      <c r="D779">
        <v>4</v>
      </c>
      <c r="E779">
        <v>13</v>
      </c>
      <c r="F779">
        <v>80</v>
      </c>
    </row>
    <row r="780" spans="1:6" x14ac:dyDescent="0.25">
      <c r="A780">
        <v>195</v>
      </c>
      <c r="B780">
        <v>3</v>
      </c>
      <c r="C780">
        <v>4946</v>
      </c>
      <c r="D780">
        <v>2</v>
      </c>
      <c r="E780">
        <v>5</v>
      </c>
      <c r="F780">
        <v>103</v>
      </c>
    </row>
    <row r="781" spans="1:6" x14ac:dyDescent="0.25">
      <c r="A781">
        <v>195</v>
      </c>
      <c r="B781">
        <v>4</v>
      </c>
      <c r="C781">
        <v>6940</v>
      </c>
      <c r="D781">
        <v>1</v>
      </c>
      <c r="E781">
        <v>2</v>
      </c>
      <c r="F781">
        <v>120</v>
      </c>
    </row>
    <row r="782" spans="1:6" x14ac:dyDescent="0.25">
      <c r="A782">
        <v>196</v>
      </c>
      <c r="B782" t="s">
        <v>35</v>
      </c>
      <c r="C782">
        <v>4895</v>
      </c>
      <c r="D782">
        <v>2</v>
      </c>
      <c r="E782">
        <v>11</v>
      </c>
      <c r="F782">
        <v>110</v>
      </c>
    </row>
    <row r="783" spans="1:6" x14ac:dyDescent="0.25">
      <c r="A783">
        <v>196</v>
      </c>
      <c r="B783" t="s">
        <v>36</v>
      </c>
      <c r="C783">
        <v>3813</v>
      </c>
      <c r="D783">
        <v>4</v>
      </c>
      <c r="E783">
        <v>11</v>
      </c>
      <c r="F783">
        <v>112</v>
      </c>
    </row>
    <row r="784" spans="1:6" x14ac:dyDescent="0.25">
      <c r="A784">
        <v>196</v>
      </c>
      <c r="B784">
        <v>3</v>
      </c>
      <c r="C784">
        <v>5055</v>
      </c>
      <c r="D784">
        <v>1</v>
      </c>
      <c r="E784">
        <v>11</v>
      </c>
      <c r="F784">
        <v>133</v>
      </c>
    </row>
    <row r="785" spans="1:6" x14ac:dyDescent="0.25">
      <c r="A785">
        <v>196</v>
      </c>
      <c r="B785">
        <v>4</v>
      </c>
      <c r="C785">
        <v>4015</v>
      </c>
      <c r="D785">
        <v>3</v>
      </c>
      <c r="E785">
        <v>6</v>
      </c>
      <c r="F785">
        <v>97</v>
      </c>
    </row>
    <row r="786" spans="1:6" x14ac:dyDescent="0.25">
      <c r="A786">
        <v>197</v>
      </c>
      <c r="B786" t="s">
        <v>35</v>
      </c>
      <c r="C786">
        <v>5348</v>
      </c>
      <c r="D786">
        <v>3</v>
      </c>
      <c r="E786">
        <v>4</v>
      </c>
      <c r="F786">
        <v>144</v>
      </c>
    </row>
    <row r="787" spans="1:6" x14ac:dyDescent="0.25">
      <c r="A787">
        <v>197</v>
      </c>
      <c r="B787" t="s">
        <v>36</v>
      </c>
      <c r="C787">
        <v>4214</v>
      </c>
      <c r="D787">
        <v>4</v>
      </c>
      <c r="E787">
        <v>13</v>
      </c>
      <c r="F787">
        <v>135</v>
      </c>
    </row>
    <row r="788" spans="1:6" x14ac:dyDescent="0.25">
      <c r="A788">
        <v>197</v>
      </c>
      <c r="B788">
        <v>3</v>
      </c>
      <c r="C788">
        <v>5981</v>
      </c>
      <c r="D788">
        <v>1</v>
      </c>
      <c r="E788">
        <v>7</v>
      </c>
      <c r="F788">
        <v>141</v>
      </c>
    </row>
    <row r="789" spans="1:6" x14ac:dyDescent="0.25">
      <c r="A789">
        <v>197</v>
      </c>
      <c r="B789">
        <v>4</v>
      </c>
      <c r="C789">
        <v>5761</v>
      </c>
      <c r="D789">
        <v>2</v>
      </c>
      <c r="E789">
        <v>6</v>
      </c>
      <c r="F789">
        <v>134</v>
      </c>
    </row>
    <row r="790" spans="1:6" x14ac:dyDescent="0.25">
      <c r="A790">
        <v>198</v>
      </c>
      <c r="B790" t="s">
        <v>35</v>
      </c>
      <c r="C790">
        <v>4701</v>
      </c>
      <c r="D790">
        <v>1</v>
      </c>
      <c r="E790">
        <v>3</v>
      </c>
      <c r="F790">
        <v>52</v>
      </c>
    </row>
    <row r="791" spans="1:6" x14ac:dyDescent="0.25">
      <c r="A791">
        <v>198</v>
      </c>
      <c r="B791" t="s">
        <v>36</v>
      </c>
      <c r="C791">
        <v>2295</v>
      </c>
      <c r="D791">
        <v>4</v>
      </c>
      <c r="E791">
        <v>0</v>
      </c>
      <c r="F791">
        <v>52</v>
      </c>
    </row>
    <row r="792" spans="1:6" x14ac:dyDescent="0.25">
      <c r="A792">
        <v>198</v>
      </c>
      <c r="B792">
        <v>3</v>
      </c>
      <c r="C792">
        <v>4680</v>
      </c>
      <c r="D792">
        <v>2</v>
      </c>
      <c r="E792">
        <v>3</v>
      </c>
      <c r="F792">
        <v>73</v>
      </c>
    </row>
    <row r="793" spans="1:6" x14ac:dyDescent="0.25">
      <c r="A793">
        <v>198</v>
      </c>
      <c r="B793">
        <v>4</v>
      </c>
      <c r="C793">
        <v>2551</v>
      </c>
      <c r="D793">
        <v>3</v>
      </c>
      <c r="E793">
        <v>6</v>
      </c>
      <c r="F793">
        <v>79</v>
      </c>
    </row>
    <row r="794" spans="1:6" x14ac:dyDescent="0.25">
      <c r="A794">
        <v>199</v>
      </c>
      <c r="B794" t="s">
        <v>35</v>
      </c>
      <c r="C794">
        <v>12540</v>
      </c>
      <c r="D794">
        <v>1</v>
      </c>
      <c r="E794">
        <v>8</v>
      </c>
      <c r="F794">
        <v>116</v>
      </c>
    </row>
    <row r="795" spans="1:6" x14ac:dyDescent="0.25">
      <c r="A795">
        <v>199</v>
      </c>
      <c r="B795" t="s">
        <v>36</v>
      </c>
      <c r="C795">
        <v>1688</v>
      </c>
      <c r="D795">
        <v>3</v>
      </c>
      <c r="E795">
        <v>2</v>
      </c>
      <c r="F795">
        <v>25</v>
      </c>
    </row>
    <row r="796" spans="1:6" x14ac:dyDescent="0.25">
      <c r="A796">
        <v>199</v>
      </c>
      <c r="B796">
        <v>3</v>
      </c>
      <c r="C796">
        <v>5167</v>
      </c>
      <c r="D796">
        <v>2</v>
      </c>
      <c r="E796">
        <v>9</v>
      </c>
      <c r="F796">
        <v>113</v>
      </c>
    </row>
    <row r="797" spans="1:6" x14ac:dyDescent="0.25">
      <c r="A797">
        <v>199</v>
      </c>
      <c r="B797">
        <v>4</v>
      </c>
      <c r="C797">
        <v>518</v>
      </c>
      <c r="D797">
        <v>4</v>
      </c>
      <c r="E797">
        <v>11</v>
      </c>
      <c r="F797">
        <v>23</v>
      </c>
    </row>
    <row r="798" spans="1:6" x14ac:dyDescent="0.25">
      <c r="A798">
        <v>200</v>
      </c>
      <c r="B798" t="s">
        <v>35</v>
      </c>
      <c r="C798">
        <v>7225</v>
      </c>
      <c r="D798">
        <v>1</v>
      </c>
      <c r="E798">
        <v>11</v>
      </c>
      <c r="F798">
        <v>114</v>
      </c>
    </row>
    <row r="799" spans="1:6" x14ac:dyDescent="0.25">
      <c r="A799">
        <v>200</v>
      </c>
      <c r="B799" t="s">
        <v>36</v>
      </c>
      <c r="C799">
        <v>4605</v>
      </c>
      <c r="D799">
        <v>3</v>
      </c>
      <c r="E799">
        <v>9</v>
      </c>
      <c r="F799">
        <v>99</v>
      </c>
    </row>
    <row r="800" spans="1:6" x14ac:dyDescent="0.25">
      <c r="A800">
        <v>200</v>
      </c>
      <c r="B800">
        <v>3</v>
      </c>
      <c r="C800">
        <v>1785</v>
      </c>
      <c r="D800">
        <v>4</v>
      </c>
      <c r="E800">
        <v>14</v>
      </c>
      <c r="F800">
        <v>87</v>
      </c>
    </row>
    <row r="801" spans="1:6" x14ac:dyDescent="0.25">
      <c r="A801">
        <v>200</v>
      </c>
      <c r="B801">
        <v>4</v>
      </c>
      <c r="C801">
        <v>5066</v>
      </c>
      <c r="D801">
        <v>2</v>
      </c>
      <c r="E801">
        <v>14</v>
      </c>
      <c r="F801">
        <v>102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7B6E-EF72-4CED-91EE-AB42CCF5D9A2}">
  <dimension ref="A3:D208"/>
  <sheetViews>
    <sheetView workbookViewId="0">
      <selection activeCell="A7" sqref="A7"/>
    </sheetView>
  </sheetViews>
  <sheetFormatPr baseColWidth="10" defaultRowHeight="15" x14ac:dyDescent="0.25"/>
  <cols>
    <col min="1" max="1" width="21.42578125" bestFit="1" customWidth="1"/>
    <col min="2" max="2" width="17.7109375" bestFit="1" customWidth="1"/>
    <col min="3" max="3" width="16.28515625" bestFit="1" customWidth="1"/>
    <col min="4" max="4" width="18.28515625" style="2" bestFit="1" customWidth="1"/>
  </cols>
  <sheetData>
    <row r="3" spans="1:4" x14ac:dyDescent="0.25">
      <c r="A3" s="3" t="s">
        <v>37</v>
      </c>
      <c r="B3" t="s">
        <v>42</v>
      </c>
      <c r="C3" t="s">
        <v>41</v>
      </c>
      <c r="D3" s="6" t="s">
        <v>43</v>
      </c>
    </row>
    <row r="4" spans="1:4" x14ac:dyDescent="0.25">
      <c r="A4" s="4" t="s">
        <v>38</v>
      </c>
      <c r="B4" s="5">
        <v>4630.8900000000003</v>
      </c>
      <c r="C4" s="5">
        <v>926178</v>
      </c>
      <c r="D4" s="6">
        <v>0.24497015033145286</v>
      </c>
    </row>
    <row r="5" spans="1:4" x14ac:dyDescent="0.25">
      <c r="A5" s="4" t="s">
        <v>39</v>
      </c>
      <c r="B5" s="5">
        <v>4310.7250000000004</v>
      </c>
      <c r="C5" s="5">
        <v>862145</v>
      </c>
      <c r="D5" s="6">
        <v>0.22803369358536957</v>
      </c>
    </row>
    <row r="6" spans="1:4" x14ac:dyDescent="0.25">
      <c r="A6" s="4" t="s">
        <v>36</v>
      </c>
      <c r="B6" s="5">
        <v>3767.355</v>
      </c>
      <c r="C6" s="5">
        <v>753471</v>
      </c>
      <c r="D6" s="6">
        <v>0.19928988179420168</v>
      </c>
    </row>
    <row r="7" spans="1:4" x14ac:dyDescent="0.25">
      <c r="A7" s="4" t="s">
        <v>35</v>
      </c>
      <c r="B7" s="5">
        <v>6194.9250000000002</v>
      </c>
      <c r="C7" s="5">
        <v>1238985</v>
      </c>
      <c r="D7" s="6">
        <v>0.32770627428897592</v>
      </c>
    </row>
    <row r="8" spans="1:4" x14ac:dyDescent="0.25">
      <c r="A8" s="4" t="s">
        <v>40</v>
      </c>
      <c r="B8" s="5">
        <v>4725.9737500000001</v>
      </c>
      <c r="C8" s="5">
        <v>3780779</v>
      </c>
      <c r="D8" s="6">
        <v>1</v>
      </c>
    </row>
    <row r="9" spans="1:4" x14ac:dyDescent="0.25">
      <c r="D9"/>
    </row>
    <row r="10" spans="1:4" x14ac:dyDescent="0.25">
      <c r="D10"/>
    </row>
    <row r="11" spans="1:4" x14ac:dyDescent="0.25">
      <c r="D11"/>
    </row>
    <row r="12" spans="1:4" x14ac:dyDescent="0.25">
      <c r="D12"/>
    </row>
    <row r="13" spans="1:4" x14ac:dyDescent="0.25">
      <c r="D13"/>
    </row>
    <row r="14" spans="1:4" x14ac:dyDescent="0.25">
      <c r="D14"/>
    </row>
    <row r="15" spans="1:4" x14ac:dyDescent="0.25">
      <c r="D15"/>
    </row>
    <row r="16" spans="1:4" x14ac:dyDescent="0.25">
      <c r="D16"/>
    </row>
    <row r="17" spans="4:4" x14ac:dyDescent="0.25">
      <c r="D17"/>
    </row>
    <row r="18" spans="4:4" x14ac:dyDescent="0.25">
      <c r="D18"/>
    </row>
    <row r="19" spans="4:4" x14ac:dyDescent="0.25">
      <c r="D19"/>
    </row>
    <row r="20" spans="4:4" x14ac:dyDescent="0.25">
      <c r="D20"/>
    </row>
    <row r="21" spans="4:4" x14ac:dyDescent="0.25">
      <c r="D21"/>
    </row>
    <row r="22" spans="4:4" x14ac:dyDescent="0.25">
      <c r="D22"/>
    </row>
    <row r="23" spans="4:4" x14ac:dyDescent="0.25">
      <c r="D23"/>
    </row>
    <row r="24" spans="4:4" x14ac:dyDescent="0.25">
      <c r="D24"/>
    </row>
    <row r="25" spans="4:4" x14ac:dyDescent="0.25">
      <c r="D25"/>
    </row>
    <row r="26" spans="4:4" x14ac:dyDescent="0.25">
      <c r="D26"/>
    </row>
    <row r="27" spans="4:4" x14ac:dyDescent="0.25">
      <c r="D27"/>
    </row>
    <row r="28" spans="4:4" x14ac:dyDescent="0.25">
      <c r="D28"/>
    </row>
    <row r="29" spans="4:4" x14ac:dyDescent="0.25">
      <c r="D29"/>
    </row>
    <row r="30" spans="4:4" x14ac:dyDescent="0.25">
      <c r="D30"/>
    </row>
    <row r="31" spans="4:4" x14ac:dyDescent="0.25">
      <c r="D31"/>
    </row>
    <row r="32" spans="4:4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  <row r="44" spans="4:4" x14ac:dyDescent="0.25">
      <c r="D44"/>
    </row>
    <row r="45" spans="4:4" x14ac:dyDescent="0.25">
      <c r="D45"/>
    </row>
    <row r="46" spans="4:4" x14ac:dyDescent="0.25">
      <c r="D46"/>
    </row>
    <row r="47" spans="4:4" x14ac:dyDescent="0.25">
      <c r="D47"/>
    </row>
    <row r="48" spans="4:4" x14ac:dyDescent="0.25">
      <c r="D48"/>
    </row>
    <row r="49" spans="4:4" x14ac:dyDescent="0.25">
      <c r="D49"/>
    </row>
    <row r="50" spans="4:4" x14ac:dyDescent="0.25">
      <c r="D50"/>
    </row>
    <row r="51" spans="4:4" x14ac:dyDescent="0.25">
      <c r="D51"/>
    </row>
    <row r="52" spans="4:4" x14ac:dyDescent="0.25">
      <c r="D52"/>
    </row>
    <row r="53" spans="4:4" x14ac:dyDescent="0.25">
      <c r="D53"/>
    </row>
    <row r="54" spans="4:4" x14ac:dyDescent="0.25">
      <c r="D54"/>
    </row>
    <row r="55" spans="4:4" x14ac:dyDescent="0.25">
      <c r="D55"/>
    </row>
    <row r="56" spans="4:4" x14ac:dyDescent="0.25">
      <c r="D56"/>
    </row>
    <row r="57" spans="4:4" x14ac:dyDescent="0.25">
      <c r="D57"/>
    </row>
    <row r="58" spans="4:4" x14ac:dyDescent="0.25">
      <c r="D58"/>
    </row>
    <row r="59" spans="4:4" x14ac:dyDescent="0.25">
      <c r="D59"/>
    </row>
    <row r="60" spans="4:4" x14ac:dyDescent="0.25">
      <c r="D60"/>
    </row>
    <row r="61" spans="4:4" x14ac:dyDescent="0.25">
      <c r="D61"/>
    </row>
    <row r="62" spans="4:4" x14ac:dyDescent="0.25">
      <c r="D62"/>
    </row>
    <row r="63" spans="4:4" x14ac:dyDescent="0.25">
      <c r="D63"/>
    </row>
    <row r="64" spans="4:4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  <row r="77" spans="4:4" x14ac:dyDescent="0.25">
      <c r="D77"/>
    </row>
    <row r="78" spans="4:4" x14ac:dyDescent="0.25">
      <c r="D78"/>
    </row>
    <row r="79" spans="4:4" x14ac:dyDescent="0.25">
      <c r="D79"/>
    </row>
    <row r="80" spans="4:4" x14ac:dyDescent="0.25">
      <c r="D80"/>
    </row>
    <row r="81" spans="4:4" x14ac:dyDescent="0.25">
      <c r="D81"/>
    </row>
    <row r="82" spans="4:4" x14ac:dyDescent="0.25">
      <c r="D82"/>
    </row>
    <row r="83" spans="4:4" x14ac:dyDescent="0.25">
      <c r="D83"/>
    </row>
    <row r="84" spans="4:4" x14ac:dyDescent="0.25">
      <c r="D84"/>
    </row>
    <row r="85" spans="4:4" x14ac:dyDescent="0.25">
      <c r="D85"/>
    </row>
    <row r="86" spans="4:4" x14ac:dyDescent="0.25">
      <c r="D86"/>
    </row>
    <row r="87" spans="4:4" x14ac:dyDescent="0.25">
      <c r="D87"/>
    </row>
    <row r="88" spans="4:4" x14ac:dyDescent="0.25">
      <c r="D88"/>
    </row>
    <row r="89" spans="4:4" x14ac:dyDescent="0.25">
      <c r="D89"/>
    </row>
    <row r="90" spans="4:4" x14ac:dyDescent="0.25">
      <c r="D90"/>
    </row>
    <row r="91" spans="4:4" x14ac:dyDescent="0.25">
      <c r="D91"/>
    </row>
    <row r="92" spans="4:4" x14ac:dyDescent="0.25">
      <c r="D92"/>
    </row>
    <row r="93" spans="4:4" x14ac:dyDescent="0.25">
      <c r="D93"/>
    </row>
    <row r="94" spans="4:4" x14ac:dyDescent="0.25">
      <c r="D94"/>
    </row>
    <row r="95" spans="4:4" x14ac:dyDescent="0.25">
      <c r="D95"/>
    </row>
    <row r="96" spans="4:4" x14ac:dyDescent="0.25">
      <c r="D96"/>
    </row>
    <row r="97" spans="4:4" x14ac:dyDescent="0.25">
      <c r="D97"/>
    </row>
    <row r="98" spans="4:4" x14ac:dyDescent="0.25">
      <c r="D98"/>
    </row>
    <row r="99" spans="4:4" x14ac:dyDescent="0.25">
      <c r="D99"/>
    </row>
    <row r="100" spans="4:4" x14ac:dyDescent="0.25">
      <c r="D100"/>
    </row>
    <row r="101" spans="4:4" x14ac:dyDescent="0.25">
      <c r="D101"/>
    </row>
    <row r="102" spans="4:4" x14ac:dyDescent="0.25">
      <c r="D102"/>
    </row>
    <row r="103" spans="4:4" x14ac:dyDescent="0.25">
      <c r="D103"/>
    </row>
    <row r="104" spans="4:4" x14ac:dyDescent="0.25">
      <c r="D104"/>
    </row>
    <row r="105" spans="4:4" x14ac:dyDescent="0.25">
      <c r="D105"/>
    </row>
    <row r="106" spans="4:4" x14ac:dyDescent="0.25">
      <c r="D106"/>
    </row>
    <row r="107" spans="4:4" x14ac:dyDescent="0.25">
      <c r="D107"/>
    </row>
    <row r="108" spans="4:4" x14ac:dyDescent="0.25">
      <c r="D108"/>
    </row>
    <row r="109" spans="4:4" x14ac:dyDescent="0.25">
      <c r="D109"/>
    </row>
    <row r="110" spans="4:4" x14ac:dyDescent="0.25">
      <c r="D110"/>
    </row>
    <row r="111" spans="4:4" x14ac:dyDescent="0.25">
      <c r="D111"/>
    </row>
    <row r="112" spans="4:4" x14ac:dyDescent="0.25">
      <c r="D112"/>
    </row>
    <row r="113" spans="4:4" x14ac:dyDescent="0.25">
      <c r="D113"/>
    </row>
    <row r="114" spans="4:4" x14ac:dyDescent="0.25">
      <c r="D114"/>
    </row>
    <row r="115" spans="4:4" x14ac:dyDescent="0.25">
      <c r="D115"/>
    </row>
    <row r="116" spans="4:4" x14ac:dyDescent="0.25">
      <c r="D116"/>
    </row>
    <row r="117" spans="4:4" x14ac:dyDescent="0.25">
      <c r="D117"/>
    </row>
    <row r="118" spans="4:4" x14ac:dyDescent="0.25">
      <c r="D118"/>
    </row>
    <row r="119" spans="4:4" x14ac:dyDescent="0.25">
      <c r="D119"/>
    </row>
    <row r="120" spans="4:4" x14ac:dyDescent="0.25">
      <c r="D120"/>
    </row>
    <row r="121" spans="4:4" x14ac:dyDescent="0.25">
      <c r="D121"/>
    </row>
    <row r="122" spans="4:4" x14ac:dyDescent="0.25">
      <c r="D122"/>
    </row>
    <row r="123" spans="4:4" x14ac:dyDescent="0.25">
      <c r="D123"/>
    </row>
    <row r="124" spans="4:4" x14ac:dyDescent="0.25">
      <c r="D124"/>
    </row>
    <row r="125" spans="4:4" x14ac:dyDescent="0.25">
      <c r="D125"/>
    </row>
    <row r="126" spans="4:4" x14ac:dyDescent="0.25">
      <c r="D126"/>
    </row>
    <row r="127" spans="4:4" x14ac:dyDescent="0.25">
      <c r="D127"/>
    </row>
    <row r="128" spans="4:4" x14ac:dyDescent="0.25">
      <c r="D128"/>
    </row>
    <row r="129" spans="4:4" x14ac:dyDescent="0.25">
      <c r="D129"/>
    </row>
    <row r="130" spans="4:4" x14ac:dyDescent="0.25">
      <c r="D130"/>
    </row>
    <row r="131" spans="4:4" x14ac:dyDescent="0.25">
      <c r="D131"/>
    </row>
    <row r="132" spans="4:4" x14ac:dyDescent="0.25">
      <c r="D132"/>
    </row>
    <row r="133" spans="4:4" x14ac:dyDescent="0.25">
      <c r="D133"/>
    </row>
    <row r="134" spans="4:4" x14ac:dyDescent="0.25">
      <c r="D134"/>
    </row>
    <row r="135" spans="4:4" x14ac:dyDescent="0.25">
      <c r="D135"/>
    </row>
    <row r="136" spans="4:4" x14ac:dyDescent="0.25">
      <c r="D136"/>
    </row>
    <row r="137" spans="4:4" x14ac:dyDescent="0.25">
      <c r="D137"/>
    </row>
    <row r="138" spans="4:4" x14ac:dyDescent="0.25">
      <c r="D138"/>
    </row>
    <row r="139" spans="4:4" x14ac:dyDescent="0.25">
      <c r="D139"/>
    </row>
    <row r="140" spans="4:4" x14ac:dyDescent="0.25">
      <c r="D140"/>
    </row>
    <row r="141" spans="4:4" x14ac:dyDescent="0.25">
      <c r="D141"/>
    </row>
    <row r="142" spans="4:4" x14ac:dyDescent="0.25">
      <c r="D142"/>
    </row>
    <row r="143" spans="4:4" x14ac:dyDescent="0.25">
      <c r="D143"/>
    </row>
    <row r="144" spans="4:4" x14ac:dyDescent="0.25">
      <c r="D144"/>
    </row>
    <row r="145" spans="4:4" x14ac:dyDescent="0.25">
      <c r="D145"/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  <row r="184" spans="4:4" x14ac:dyDescent="0.25">
      <c r="D184"/>
    </row>
    <row r="185" spans="4:4" x14ac:dyDescent="0.25">
      <c r="D185"/>
    </row>
    <row r="186" spans="4:4" x14ac:dyDescent="0.25">
      <c r="D186"/>
    </row>
    <row r="187" spans="4:4" x14ac:dyDescent="0.25">
      <c r="D187"/>
    </row>
    <row r="188" spans="4:4" x14ac:dyDescent="0.25">
      <c r="D188"/>
    </row>
    <row r="189" spans="4:4" x14ac:dyDescent="0.25">
      <c r="D189"/>
    </row>
    <row r="190" spans="4:4" x14ac:dyDescent="0.25">
      <c r="D190"/>
    </row>
    <row r="191" spans="4:4" x14ac:dyDescent="0.25">
      <c r="D191"/>
    </row>
    <row r="192" spans="4:4" x14ac:dyDescent="0.25">
      <c r="D192"/>
    </row>
    <row r="193" spans="4:4" x14ac:dyDescent="0.25">
      <c r="D193"/>
    </row>
    <row r="194" spans="4:4" x14ac:dyDescent="0.25">
      <c r="D194"/>
    </row>
    <row r="195" spans="4:4" x14ac:dyDescent="0.25">
      <c r="D195"/>
    </row>
    <row r="196" spans="4:4" x14ac:dyDescent="0.25">
      <c r="D196"/>
    </row>
    <row r="197" spans="4:4" x14ac:dyDescent="0.25">
      <c r="D197"/>
    </row>
    <row r="198" spans="4:4" x14ac:dyDescent="0.25">
      <c r="D198"/>
    </row>
    <row r="199" spans="4:4" x14ac:dyDescent="0.25">
      <c r="D199"/>
    </row>
    <row r="200" spans="4:4" x14ac:dyDescent="0.25">
      <c r="D200"/>
    </row>
    <row r="201" spans="4:4" x14ac:dyDescent="0.25">
      <c r="D201"/>
    </row>
    <row r="202" spans="4:4" x14ac:dyDescent="0.25">
      <c r="D202"/>
    </row>
    <row r="203" spans="4:4" x14ac:dyDescent="0.25">
      <c r="D203"/>
    </row>
    <row r="204" spans="4:4" x14ac:dyDescent="0.25">
      <c r="D204"/>
    </row>
    <row r="205" spans="4:4" x14ac:dyDescent="0.25">
      <c r="D205"/>
    </row>
    <row r="206" spans="4:4" x14ac:dyDescent="0.25">
      <c r="D206"/>
    </row>
    <row r="207" spans="4:4" x14ac:dyDescent="0.25">
      <c r="D207"/>
    </row>
    <row r="208" spans="4:4" x14ac:dyDescent="0.25">
      <c r="D20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E093C7-8A3C-4549-9021-72C39E6508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resultats_comparatifs </vt:lpstr>
      <vt:lpstr>Stats et dashboard</vt:lpstr>
      <vt:lpstr>resultats_exploitables</vt:lpstr>
      <vt:lpstr>Tableau dynamique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Mohsen Airouta</cp:lastModifiedBy>
  <dcterms:created xsi:type="dcterms:W3CDTF">2026-03-16T21:04:37Z</dcterms:created>
  <dcterms:modified xsi:type="dcterms:W3CDTF">2026-03-17T12:18:38Z</dcterms:modified>
</cp:coreProperties>
</file>